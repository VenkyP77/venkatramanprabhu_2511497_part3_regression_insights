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0b75ba71599f25d/Dokumen/Masai School Sessions/Capstone Projects/part3_regression_insights/outputs/"/>
    </mc:Choice>
  </mc:AlternateContent>
  <xr:revisionPtr revIDLastSave="0" documentId="14_{82418474-65D9-4FE6-9F21-64A837C2201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odel_Comparison" sheetId="2" r:id="rId1"/>
    <sheet name="Coefficient_Detai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<sst xmlns="http://schemas.openxmlformats.org/spreadsheetml/2006/main" count="73" uniqueCount="57">
  <si>
    <t>Model Name</t>
  </si>
  <si>
    <t>Dependent Variable</t>
  </si>
  <si>
    <t>Independent Variables</t>
  </si>
  <si>
    <t>R-squared</t>
  </si>
  <si>
    <t>Adj R-squared</t>
  </si>
  <si>
    <t>Significant Variables (p&lt;0.05)</t>
  </si>
  <si>
    <t>Business Usefulness</t>
  </si>
  <si>
    <t>Recommended?</t>
  </si>
  <si>
    <t>Simple Model 1
(marketing_spend)</t>
  </si>
  <si>
    <t>monthly_sales</t>
  </si>
  <si>
    <t>marketing_spend</t>
  </si>
  <si>
    <t>n/a (simple model)</t>
  </si>
  <si>
    <t>marketing_spend (p&lt;0.001)</t>
  </si>
  <si>
    <t>Low-Moderate</t>
  </si>
  <si>
    <t>No</t>
  </si>
  <si>
    <t>Simple Model 2
(footfall)</t>
  </si>
  <si>
    <t>footfall</t>
  </si>
  <si>
    <t>footfall (p&lt;0.001)</t>
  </si>
  <si>
    <t>High</t>
  </si>
  <si>
    <t>Simple Model 3
(customer_rating)</t>
  </si>
  <si>
    <t>customer_rating</t>
  </si>
  <si>
    <t>None (p=0.647, NS)</t>
  </si>
  <si>
    <t>None</t>
  </si>
  <si>
    <t>Multiple Regression
(FINAL MODEL)</t>
  </si>
  <si>
    <t>footfall***, marketing_spend***, inventory_avail_pct***, store_Airport***, store_Mall***, store_HighStreet*</t>
  </si>
  <si>
    <t>YES</t>
  </si>
  <si>
    <t>avg_discount_pct</t>
  </si>
  <si>
    <t>inventory_avail_pct</t>
  </si>
  <si>
    <t>store_Airport</t>
  </si>
  <si>
    <t>store_HighStreet</t>
  </si>
  <si>
    <t>store_Mall</t>
  </si>
  <si>
    <t>df residuals (helper):</t>
  </si>
  <si>
    <t>Variable</t>
  </si>
  <si>
    <t>Coefficient ($)</t>
  </si>
  <si>
    <t>Std Error</t>
  </si>
  <si>
    <t>T-statistic</t>
  </si>
  <si>
    <t>P-value</t>
  </si>
  <si>
    <t>Significant?</t>
  </si>
  <si>
    <t>Interpretation</t>
  </si>
  <si>
    <t>Intercept</t>
  </si>
  <si>
    <t>**</t>
  </si>
  <si>
    <t>Baseline monthly sales for a Residential store (all numerics = 0)</t>
  </si>
  <si>
    <t>***</t>
  </si>
  <si>
    <t>n.s.</t>
  </si>
  <si>
    <t>*</t>
  </si>
  <si>
    <t>F-statistic</t>
  </si>
  <si>
    <t>n (observations)</t>
  </si>
  <si>
    <r>
      <t>marketing_spend, footfall, avg_discount_pct, inventory_avail_pct + 3 store-type dumm</t>
    </r>
    <r>
      <rPr>
        <sz val="10"/>
        <rFont val="Arial"/>
        <family val="2"/>
      </rPr>
      <t>y variables</t>
    </r>
  </si>
  <si>
    <t>Regression Models Comparison</t>
  </si>
  <si>
    <t>Final Model — Coefficient Detail</t>
  </si>
  <si>
    <t>Each additional visitor → $33.6 change in monthly sales</t>
  </si>
  <si>
    <t>Each additional $1 in marketing → $1.16 change in monthly sales</t>
  </si>
  <si>
    <t>Effect of discount proportion — not significant. Avoid over-discounting</t>
  </si>
  <si>
    <t>Each 1% improvement in stock availability → $2824 change in sales</t>
  </si>
  <si>
    <t>Airport vs Residential — monthly sales premium of $36186</t>
  </si>
  <si>
    <t>High Street vs Residential — monthly sales premium of $14366</t>
  </si>
  <si>
    <t>Mall vs Residential — monthly sales premium of $25653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</si>
</sst>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9"/>
      <color rgb="FF000080"/>
      <name val="Arial"/>
    </font>
    <font>
      <sz val="10"/>
      <name val="Arial"/>
    </font>
    <font>
      <sz val="10"/>
      <color rgb="FF000080"/>
      <name val="Arial"/>
    </font>
    <font>
      <b/>
      <sz val="10"/>
      <name val="Arial"/>
    </font>
    <font>
      <b/>
      <sz val="10"/>
      <color rgb="FF375623"/>
      <name val="Arial"/>
    </font>
    <font>
      <sz val="10"/>
      <color rgb="FF843C0C"/>
      <name val="Arial"/>
    </font>
    <font>
      <sz val="10"/>
      <name val="Arial"/>
      <family val="2"/>
    </font>
    <font>
      <b/>
      <sz val="10"/>
      <name val="Arial"/>
      <family val="2"/>
    </font>
    <font>
      <b/>
      <sz val="13"/>
      <color rgb="FF1F4E79"/>
      <name val="Arial"/>
      <family val="2"/>
    </font>
    <font>
      <sz val="10"/>
      <color rgb="FF88888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164" fontId="4" fillId="3" borderId="1" xfId="0" applyNumberFormat="1" applyFont="1" applyFill="1" applyBorder="1" applyAlignment="1">
      <alignment vertical="top" wrapText="1"/>
    </xf>
    <xf numFmtId="3" fontId="4" fillId="0" borderId="0" xfId="0" applyNumberFormat="1" applyFont="1"/>
    <xf numFmtId="0" fontId="5" fillId="0" borderId="1" xfId="0" applyFont="1" applyBorder="1"/>
    <xf numFmtId="165" fontId="4" fillId="0" borderId="1" xfId="0" applyNumberFormat="1" applyFont="1" applyBorder="1"/>
    <xf numFmtId="164" fontId="4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6" fillId="0" borderId="1" xfId="0" applyFont="1" applyBorder="1" applyAlignment="1">
      <alignment horizontal="center"/>
    </xf>
    <xf numFmtId="0" fontId="5" fillId="4" borderId="1" xfId="0" applyFont="1" applyFill="1" applyBorder="1"/>
    <xf numFmtId="165" fontId="4" fillId="4" borderId="1" xfId="0" applyNumberFormat="1" applyFont="1" applyFill="1" applyBorder="1"/>
    <xf numFmtId="164" fontId="4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4" fontId="4" fillId="0" borderId="1" xfId="0" applyNumberFormat="1" applyFont="1" applyBorder="1"/>
    <xf numFmtId="3" fontId="4" fillId="0" borderId="1" xfId="0" applyNumberFormat="1" applyFont="1" applyBorder="1"/>
    <xf numFmtId="0" fontId="9" fillId="3" borderId="1" xfId="0" applyFont="1" applyFill="1" applyBorder="1" applyAlignment="1">
      <alignment vertical="top" wrapText="1"/>
    </xf>
    <xf numFmtId="0" fontId="4" fillId="0" borderId="1" xfId="0" applyFont="1" applyBorder="1"/>
    <xf numFmtId="0" fontId="4" fillId="4" borderId="1" xfId="0" applyFont="1" applyFill="1" applyBorder="1"/>
    <xf numFmtId="0" fontId="11" fillId="0" borderId="0" xfId="0" applyFont="1"/>
    <xf numFmtId="0" fontId="8" fillId="0" borderId="1" xfId="0" applyFont="1" applyBorder="1"/>
    <xf numFmtId="0" fontId="8" fillId="4" borderId="1" xfId="0" applyFont="1" applyFill="1" applyBorder="1"/>
    <xf numFmtId="0" fontId="2" fillId="0" borderId="0" xfId="0" applyFont="1"/>
    <xf numFmtId="0" fontId="0" fillId="0" borderId="0" xfId="0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Model Comparison (R</a:t>
            </a:r>
            <a:r>
              <a:rPr lang="en-IN" baseline="0"/>
              <a:t> Squared)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Model_Comparison!$A$4:$C$4</c:f>
              <c:strCache>
                <c:ptCount val="3"/>
                <c:pt idx="0">
                  <c:v>Simple Model 1
(marketing_spend)</c:v>
                </c:pt>
                <c:pt idx="1">
                  <c:v>monthly_sales</c:v>
                </c:pt>
                <c:pt idx="2">
                  <c:v>marketing_spend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3F0E7B4-CFA9-48DA-9CA8-FD9D675475F9}" type="SERIESNAME">
                      <a:rPr lang="en-US"/>
                      <a:pPr/>
                      <a:t>[SERIES NAME]</a:t>
                    </a:fld>
                    <a:r>
                      <a:rPr lang="en-US" baseline="0"/>
                      <a:t>, </a:t>
                    </a:r>
                    <a:fld id="{BA42816A-EC2F-4A28-A19B-DAF37355A48F}" type="VALUE">
                      <a:rPr lang="en-US" b="1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0AF0-4981-BC30-F41B9C3FF7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Model_Comparison!$D$3</c:f>
              <c:strCache>
                <c:ptCount val="1"/>
                <c:pt idx="0">
                  <c:v>R-squared</c:v>
                </c:pt>
              </c:strCache>
            </c:strRef>
          </c:cat>
          <c:val>
            <c:numRef>
              <c:f>Model_Comparison!$D$4</c:f>
              <c:numCache>
                <c:formatCode>0.0000</c:formatCode>
                <c:ptCount val="1"/>
                <c:pt idx="0">
                  <c:v>0.15742646124543749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0-4981-BC30-F41B9C3FF74F}"/>
            </c:ext>
          </c:extLst>
        </c:ser>
        <c:ser>
          <c:idx val="1"/>
          <c:order val="1"/>
          <c:tx>
            <c:strRef>
              <c:f>Model_Comparison!$A$5:$C$5</c:f>
              <c:strCache>
                <c:ptCount val="3"/>
                <c:pt idx="0">
                  <c:v>Simple Model 2
(footfall)</c:v>
                </c:pt>
                <c:pt idx="1">
                  <c:v>monthly_sales</c:v>
                </c:pt>
                <c:pt idx="2">
                  <c:v>footfall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B0CAC0E-CC54-4D34-B3EA-DE6A51DF35EC}" type="SERIESNAME">
                      <a:rPr lang="en-US"/>
                      <a:pPr/>
                      <a:t>[SERIES NAME]</a:t>
                    </a:fld>
                    <a:r>
                      <a:rPr lang="en-US" baseline="0"/>
                      <a:t>, </a:t>
                    </a:r>
                    <a:fld id="{C3A7FCB1-F657-4DB6-BC5B-822AB944A7D4}" type="VALUE">
                      <a:rPr lang="en-US" b="1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0AF0-4981-BC30-F41B9C3FF7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Model_Comparison!$D$3</c:f>
              <c:strCache>
                <c:ptCount val="1"/>
                <c:pt idx="0">
                  <c:v>R-squared</c:v>
                </c:pt>
              </c:strCache>
            </c:strRef>
          </c:cat>
          <c:val>
            <c:numRef>
              <c:f>Model_Comparison!$D$5</c:f>
              <c:numCache>
                <c:formatCode>0.0000</c:formatCode>
                <c:ptCount val="1"/>
                <c:pt idx="0">
                  <c:v>0.73484316730369037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F0-4981-BC30-F41B9C3FF74F}"/>
            </c:ext>
          </c:extLst>
        </c:ser>
        <c:ser>
          <c:idx val="2"/>
          <c:order val="2"/>
          <c:tx>
            <c:strRef>
              <c:f>Model_Comparison!$A$6:$C$6</c:f>
              <c:strCache>
                <c:ptCount val="3"/>
                <c:pt idx="0">
                  <c:v>Simple Model 3
(customer_rating)</c:v>
                </c:pt>
                <c:pt idx="1">
                  <c:v>monthly_sales</c:v>
                </c:pt>
                <c:pt idx="2">
                  <c:v>customer_rating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Model_Comparison!$D$3</c:f>
              <c:strCache>
                <c:ptCount val="1"/>
                <c:pt idx="0">
                  <c:v>R-squared</c:v>
                </c:pt>
              </c:strCache>
            </c:strRef>
          </c:cat>
          <c:val>
            <c:numRef>
              <c:f>Model_Comparison!$D$6</c:f>
              <c:numCache>
                <c:formatCode>0.0000</c:formatCode>
                <c:ptCount val="1"/>
                <c:pt idx="0">
                  <c:v>6.9196261025870887E-4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F0-4981-BC30-F41B9C3FF74F}"/>
            </c:ext>
          </c:extLst>
        </c:ser>
        <c:ser>
          <c:idx val="3"/>
          <c:order val="3"/>
          <c:tx>
            <c:strRef>
              <c:f>Model_Comparison!$A$7:$C$7</c:f>
              <c:strCache>
                <c:ptCount val="3"/>
                <c:pt idx="0">
                  <c:v>Multiple Regression
(FINAL MODEL)</c:v>
                </c:pt>
                <c:pt idx="1">
                  <c:v>monthly_sales</c:v>
                </c:pt>
                <c:pt idx="2">
                  <c:v>marketing_spend, footfall, avg_discount_pct, inventory_avail_pct + 3 store-type dummy variables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EDA73BE-8A96-4562-929C-25DF2F6AD98D}" type="SERIESNAME">
                      <a:rPr lang="en-US"/>
                      <a:pPr/>
                      <a:t>[SERIES NAME]</a:t>
                    </a:fld>
                    <a:r>
                      <a:rPr lang="en-US" baseline="0"/>
                      <a:t>, </a:t>
                    </a:r>
                    <a:fld id="{346E502B-14F1-4CD4-8B1A-BF89AFD0E6CD}" type="VALUE">
                      <a:rPr lang="en-US" b="1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AF0-4981-BC30-F41B9C3FF7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Model_Comparison!$D$3</c:f>
              <c:strCache>
                <c:ptCount val="1"/>
                <c:pt idx="0">
                  <c:v>R-squared</c:v>
                </c:pt>
              </c:strCache>
            </c:strRef>
          </c:cat>
          <c:val>
            <c:numRef>
              <c:f>Model_Comparison!$D$7</c:f>
              <c:numCache>
                <c:formatCode>0.0000</c:formatCode>
                <c:ptCount val="1"/>
                <c:pt idx="0">
                  <c:v>0.81592770789362312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F0-4981-BC30-F41B9C3FF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7295488"/>
        <c:axId val="1447312288"/>
      </c:barChart>
      <c:catAx>
        <c:axId val="144729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312288"/>
        <c:crosses val="autoZero"/>
        <c:auto val="1"/>
        <c:lblAlgn val="ctr"/>
        <c:lblOffset val="100"/>
        <c:noMultiLvlLbl val="0"/>
      </c:catAx>
      <c:valAx>
        <c:axId val="1447312288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29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288130</xdr:colOff>
      <xdr:row>7</xdr:row>
      <xdr:rowOff>28575</xdr:rowOff>
    </xdr:from>
    <xdr:to>
      <xdr:col>7</xdr:col>
      <xdr:colOff>257174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AA2754-A52E-D7CA-8E72-ADD33A5A8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zoomScale="90" zoomScaleNormal="90" workbookViewId="0">
      <selection activeCell="F7" sqref="F7"/>
    </sheetView>
  </sheetViews>
  <sheetFormatPr defaultRowHeight="14.25" x14ac:dyDescent="0.45"/>
  <cols>
    <col min="1" max="1" width="26" customWidth="1"/>
    <col min="2" max="2" width="18" customWidth="1"/>
    <col min="3" max="3" width="42" customWidth="1"/>
    <col min="4" max="4" width="12" customWidth="1"/>
    <col min="5" max="5" width="14" customWidth="1"/>
    <col min="6" max="6" width="44" customWidth="1"/>
    <col min="7" max="7" width="18" customWidth="1"/>
    <col min="8" max="8" width="12" customWidth="1"/>
  </cols>
  <sheetData>
    <row r="1" spans="1:8" ht="28.05" customHeight="1" x14ac:dyDescent="0.5">
      <c r="A1" s="27" t="s">
        <v>48</v>
      </c>
      <c r="B1" s="26"/>
      <c r="C1" s="26"/>
      <c r="D1" s="26"/>
      <c r="E1" s="26"/>
      <c r="F1" s="26"/>
      <c r="G1" s="26"/>
      <c r="H1" s="26"/>
    </row>
    <row r="3" spans="1:8" ht="40.049999999999997" customHeight="1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25.5" x14ac:dyDescent="0.45">
      <c r="A4" s="2" t="s">
        <v>8</v>
      </c>
      <c r="B4" s="2" t="s">
        <v>9</v>
      </c>
      <c r="C4" s="2" t="s">
        <v>10</v>
      </c>
      <c r="D4" s="3">
        <v>0.15742646124543749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8" ht="25.5" x14ac:dyDescent="0.45">
      <c r="A5" s="2" t="s">
        <v>15</v>
      </c>
      <c r="B5" s="2" t="s">
        <v>9</v>
      </c>
      <c r="C5" s="2" t="s">
        <v>16</v>
      </c>
      <c r="D5" s="3">
        <v>0.73484316730369037</v>
      </c>
      <c r="E5" s="2" t="s">
        <v>11</v>
      </c>
      <c r="F5" s="2" t="s">
        <v>17</v>
      </c>
      <c r="G5" s="2" t="s">
        <v>18</v>
      </c>
      <c r="H5" s="2" t="s">
        <v>14</v>
      </c>
    </row>
    <row r="6" spans="1:8" ht="25.5" x14ac:dyDescent="0.45">
      <c r="A6" s="2" t="s">
        <v>19</v>
      </c>
      <c r="B6" s="2" t="s">
        <v>9</v>
      </c>
      <c r="C6" s="2" t="s">
        <v>20</v>
      </c>
      <c r="D6" s="3">
        <v>6.9196261025870887E-4</v>
      </c>
      <c r="E6" s="2" t="s">
        <v>11</v>
      </c>
      <c r="F6" s="2" t="s">
        <v>21</v>
      </c>
      <c r="G6" s="2" t="s">
        <v>22</v>
      </c>
      <c r="H6" s="2" t="s">
        <v>14</v>
      </c>
    </row>
    <row r="7" spans="1:8" ht="55.05" customHeight="1" x14ac:dyDescent="0.45">
      <c r="A7" s="4" t="s">
        <v>23</v>
      </c>
      <c r="B7" s="4" t="s">
        <v>9</v>
      </c>
      <c r="C7" s="19" t="s">
        <v>47</v>
      </c>
      <c r="D7" s="5">
        <v>0.81592770789362312</v>
      </c>
      <c r="E7" s="5">
        <v>0.81159999999999999</v>
      </c>
      <c r="F7" s="4" t="s">
        <v>24</v>
      </c>
      <c r="G7" s="4" t="s">
        <v>18</v>
      </c>
      <c r="H7" s="4" t="s">
        <v>25</v>
      </c>
    </row>
  </sheetData>
  <mergeCells count="1"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>
      <selection activeCell="G13" sqref="G13"/>
    </sheetView>
  </sheetViews>
  <sheetFormatPr defaultRowHeight="14.25" x14ac:dyDescent="0.45"/>
  <cols>
    <col min="1" max="1" width="28" customWidth="1"/>
    <col min="2" max="2" width="16" customWidth="1"/>
    <col min="3" max="3" width="14" customWidth="1"/>
    <col min="4" max="4" width="12" customWidth="1"/>
    <col min="5" max="6" width="14" customWidth="1"/>
    <col min="7" max="7" width="57.3984375" bestFit="1" customWidth="1"/>
  </cols>
  <sheetData>
    <row r="1" spans="1:7" ht="28.05" customHeight="1" x14ac:dyDescent="0.5">
      <c r="A1" s="27" t="s">
        <v>49</v>
      </c>
      <c r="B1" s="26"/>
      <c r="C1" s="26"/>
      <c r="D1" s="26"/>
      <c r="E1" s="26"/>
      <c r="F1" s="26"/>
      <c r="G1" s="26"/>
    </row>
    <row r="2" spans="1:7" x14ac:dyDescent="0.45">
      <c r="A2" s="25"/>
      <c r="B2" s="26"/>
      <c r="C2" s="26"/>
      <c r="D2" s="26"/>
      <c r="E2" s="26"/>
      <c r="F2" s="26"/>
      <c r="G2" s="26"/>
    </row>
    <row r="3" spans="1:7" x14ac:dyDescent="0.45">
      <c r="A3" s="22" t="s">
        <v>31</v>
      </c>
      <c r="B3" s="6">
        <v>298</v>
      </c>
    </row>
    <row r="4" spans="1:7" ht="35" customHeight="1" x14ac:dyDescent="0.45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</row>
    <row r="5" spans="1:7" x14ac:dyDescent="0.45">
      <c r="A5" s="7" t="s">
        <v>39</v>
      </c>
      <c r="B5" s="8">
        <v>138186.46408528928</v>
      </c>
      <c r="C5" s="8">
        <v>45400.869650262241</v>
      </c>
      <c r="D5" s="9">
        <v>3.0436964126410979</v>
      </c>
      <c r="E5" s="20">
        <v>2.5452871802618114E-3</v>
      </c>
      <c r="F5" s="10" t="s">
        <v>40</v>
      </c>
      <c r="G5" s="11" t="s">
        <v>41</v>
      </c>
    </row>
    <row r="6" spans="1:7" x14ac:dyDescent="0.45">
      <c r="A6" s="7" t="s">
        <v>10</v>
      </c>
      <c r="B6" s="8">
        <v>1.1614599758485165</v>
      </c>
      <c r="C6" s="8">
        <v>0.13202041528460554</v>
      </c>
      <c r="D6" s="9">
        <v>8.7975785665018318</v>
      </c>
      <c r="E6" s="20">
        <v>1.1507235213118599E-16</v>
      </c>
      <c r="F6" s="12" t="s">
        <v>42</v>
      </c>
      <c r="G6" s="23" t="s">
        <v>51</v>
      </c>
    </row>
    <row r="7" spans="1:7" x14ac:dyDescent="0.45">
      <c r="A7" s="7" t="s">
        <v>16</v>
      </c>
      <c r="B7" s="8">
        <v>33.605031616996754</v>
      </c>
      <c r="C7" s="8">
        <v>1.0643897005001621</v>
      </c>
      <c r="D7" s="9">
        <v>31.572112733903364</v>
      </c>
      <c r="E7" s="20">
        <v>4.5807917609789124E-97</v>
      </c>
      <c r="F7" s="12" t="s">
        <v>42</v>
      </c>
      <c r="G7" s="23" t="s">
        <v>50</v>
      </c>
    </row>
    <row r="8" spans="1:7" x14ac:dyDescent="0.45">
      <c r="A8" s="13" t="s">
        <v>26</v>
      </c>
      <c r="B8" s="14">
        <v>-53521.129516427238</v>
      </c>
      <c r="C8" s="14">
        <v>37902.162552932597</v>
      </c>
      <c r="D8" s="15">
        <v>-1.4120864328435569</v>
      </c>
      <c r="E8" s="21">
        <v>0.15896788789677196</v>
      </c>
      <c r="F8" s="16" t="s">
        <v>43</v>
      </c>
      <c r="G8" s="24" t="s">
        <v>52</v>
      </c>
    </row>
    <row r="9" spans="1:7" x14ac:dyDescent="0.45">
      <c r="A9" s="7" t="s">
        <v>27</v>
      </c>
      <c r="B9" s="8">
        <v>2824.4196599265761</v>
      </c>
      <c r="C9" s="8">
        <v>487.52329979818938</v>
      </c>
      <c r="D9" s="9">
        <v>5.7934044610703666</v>
      </c>
      <c r="E9" s="20">
        <v>1.7521444177476909E-8</v>
      </c>
      <c r="F9" s="12" t="s">
        <v>42</v>
      </c>
      <c r="G9" s="23" t="s">
        <v>53</v>
      </c>
    </row>
    <row r="10" spans="1:7" x14ac:dyDescent="0.45">
      <c r="A10" s="7" t="s">
        <v>28</v>
      </c>
      <c r="B10" s="8">
        <v>36186.237372351185</v>
      </c>
      <c r="C10" s="8">
        <v>9639.8504309381169</v>
      </c>
      <c r="D10" s="9">
        <v>3.7538173057348634</v>
      </c>
      <c r="E10" s="20">
        <v>2.0936177448112298E-4</v>
      </c>
      <c r="F10" s="12" t="s">
        <v>42</v>
      </c>
      <c r="G10" s="23" t="s">
        <v>54</v>
      </c>
    </row>
    <row r="11" spans="1:7" x14ac:dyDescent="0.45">
      <c r="A11" s="7" t="s">
        <v>29</v>
      </c>
      <c r="B11" s="8">
        <v>14366.814630821915</v>
      </c>
      <c r="C11" s="8">
        <v>6291.3779874964675</v>
      </c>
      <c r="D11" s="9">
        <v>2.283572002727325</v>
      </c>
      <c r="E11" s="20">
        <v>2.3100305638485068E-2</v>
      </c>
      <c r="F11" s="10" t="s">
        <v>44</v>
      </c>
      <c r="G11" s="23" t="s">
        <v>55</v>
      </c>
    </row>
    <row r="12" spans="1:7" x14ac:dyDescent="0.45">
      <c r="A12" s="7" t="s">
        <v>30</v>
      </c>
      <c r="B12" s="8">
        <v>25653.022405709129</v>
      </c>
      <c r="C12" s="8">
        <v>6931.1085477940314</v>
      </c>
      <c r="D12" s="9">
        <v>3.7011427867297986</v>
      </c>
      <c r="E12" s="20">
        <v>2.5560338062369557E-4</v>
      </c>
      <c r="F12" s="12" t="s">
        <v>42</v>
      </c>
      <c r="G12" s="23" t="s">
        <v>56</v>
      </c>
    </row>
    <row r="15" spans="1:7" x14ac:dyDescent="0.45">
      <c r="A15" s="7" t="s">
        <v>3</v>
      </c>
      <c r="B15" s="9">
        <v>0.81592770789362312</v>
      </c>
    </row>
    <row r="16" spans="1:7" x14ac:dyDescent="0.45">
      <c r="A16" s="7" t="s">
        <v>4</v>
      </c>
      <c r="B16" s="9">
        <v>0.81160386210588942</v>
      </c>
    </row>
    <row r="17" spans="1:2" x14ac:dyDescent="0.45">
      <c r="A17" s="7" t="s">
        <v>45</v>
      </c>
      <c r="B17" s="17">
        <v>188.70416475266714</v>
      </c>
    </row>
    <row r="18" spans="1:2" x14ac:dyDescent="0.45">
      <c r="A18" s="7" t="s">
        <v>46</v>
      </c>
      <c r="B18" s="18">
        <v>306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Model_Comparison</vt:lpstr>
      <vt:lpstr>Coefficient_Detail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Venkatraman Prabhu</dc:creator>
  <cp:lastModifiedBy>Venkatraman Prabhu</cp:lastModifiedBy>
  <dcterms:created xsi:type="dcterms:W3CDTF">2026-06-25T09:39:40Z</dcterms:created>
  <dcterms:modified xsi:type="dcterms:W3CDTF">2026-06-25T17:07:27Z</dcterms:modified>
</cp:coreProperties>
</file>