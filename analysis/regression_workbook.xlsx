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b75ba71599f25d/Dokumen/Masai School Sessions/Capstone Projects/part3_regression_insights/analysis/"/>
    </mc:Choice>
  </mc:AlternateContent>
  <xr:revisionPtr revIDLastSave="0" documentId="14_{4ACF3205-98D7-4CFE-A32B-15D21B59FA00}" xr6:coauthVersionLast="47" xr6:coauthVersionMax="47" xr10:uidLastSave="{00000000-0000-0000-0000-000000000000}"/>
  <bookViews>
    <workbookView xWindow="-98" yWindow="-98" windowWidth="21795" windowHeight="12975" tabRatio="905" firstSheet="1" activeTab="1" xr2:uid="{00000000-000D-0000-FFFF-FFFF00000000}"/>
  </bookViews>
  <sheets>
    <sheet name="1_Original_Dataset" sheetId="1" r:id="rId1"/>
    <sheet name="2_Cleaned_Data" sheetId="2" r:id="rId2"/>
    <sheet name="3_Dummy_Variables" sheetId="3" r:id="rId3"/>
    <sheet name="4_Simple_Regression" sheetId="4" r:id="rId4"/>
    <sheet name="5_Multiple_Regression" sheetId="5" r:id="rId5"/>
    <sheet name="6_Predictions_Residuals" sheetId="6" r:id="rId6"/>
    <sheet name="7_Model_Comparison" sheetId="7" r:id="rId7"/>
    <sheet name="8_Residual_Plots" sheetId="8" r:id="rId8"/>
  </sheets>
  <definedNames>
    <definedName name="_xlchart.v1.0" hidden="1">'8_Residual_Plots'!$AE$2</definedName>
    <definedName name="_xlchart.v1.1" hidden="1">'8_Residual_Plots'!$AE$3:$AE$308</definedName>
    <definedName name="_xlchart.v1.2" hidden="1">'8_Residual_Plots'!$AE$2</definedName>
    <definedName name="_xlchart.v1.3" hidden="1">'8_Residual_Plots'!$AE$3:$AE$308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8" l="1"/>
  <c r="G7" i="8" s="1"/>
  <c r="E7" i="8"/>
  <c r="D7" i="8"/>
  <c r="C7" i="8"/>
  <c r="B7" i="8"/>
  <c r="A7" i="8"/>
  <c r="F6" i="8"/>
  <c r="E6" i="8"/>
  <c r="G6" i="8" s="1"/>
  <c r="D6" i="8"/>
  <c r="C6" i="8"/>
  <c r="B6" i="8"/>
  <c r="A6" i="8"/>
  <c r="F5" i="8"/>
  <c r="E5" i="8"/>
  <c r="G5" i="8" s="1"/>
  <c r="D5" i="8"/>
  <c r="C5" i="8"/>
  <c r="B5" i="8"/>
  <c r="A5" i="8"/>
  <c r="F4" i="8"/>
  <c r="E4" i="8"/>
  <c r="D4" i="8"/>
  <c r="C4" i="8"/>
  <c r="B4" i="8"/>
  <c r="A4" i="8"/>
  <c r="F3" i="8"/>
  <c r="E3" i="8"/>
  <c r="G3" i="8" s="1"/>
  <c r="D3" i="8"/>
  <c r="C3" i="8"/>
  <c r="B3" i="8"/>
  <c r="A3" i="8"/>
  <c r="F15" i="8"/>
  <c r="E15" i="8"/>
  <c r="G15" i="8" s="1"/>
  <c r="D15" i="8"/>
  <c r="C15" i="8"/>
  <c r="B15" i="8"/>
  <c r="A15" i="8"/>
  <c r="F14" i="8"/>
  <c r="E14" i="8"/>
  <c r="D14" i="8"/>
  <c r="C14" i="8"/>
  <c r="B14" i="8"/>
  <c r="A14" i="8"/>
  <c r="F13" i="8"/>
  <c r="E13" i="8"/>
  <c r="D13" i="8"/>
  <c r="C13" i="8"/>
  <c r="B13" i="8"/>
  <c r="A13" i="8"/>
  <c r="F12" i="8"/>
  <c r="E12" i="8"/>
  <c r="D12" i="8"/>
  <c r="C12" i="8"/>
  <c r="B12" i="8"/>
  <c r="A12" i="8"/>
  <c r="F11" i="8"/>
  <c r="E11" i="8"/>
  <c r="D11" i="8"/>
  <c r="C11" i="8"/>
  <c r="B11" i="8"/>
  <c r="A11" i="8"/>
  <c r="G12" i="8" l="1"/>
  <c r="G4" i="8"/>
  <c r="G13" i="8"/>
  <c r="G11" i="8"/>
  <c r="G14" i="8"/>
  <c r="E7" i="7" l="1"/>
  <c r="D7" i="7"/>
  <c r="F307" i="6"/>
  <c r="E307" i="6"/>
  <c r="D307" i="6"/>
  <c r="C307" i="6"/>
  <c r="B307" i="6"/>
  <c r="A307" i="6"/>
  <c r="F306" i="6"/>
  <c r="E306" i="6"/>
  <c r="G306" i="6" s="1"/>
  <c r="H306" i="6" s="1"/>
  <c r="D306" i="6"/>
  <c r="C306" i="6"/>
  <c r="B306" i="6"/>
  <c r="A306" i="6"/>
  <c r="F305" i="6"/>
  <c r="E305" i="6"/>
  <c r="D305" i="6"/>
  <c r="C305" i="6"/>
  <c r="B305" i="6"/>
  <c r="A305" i="6"/>
  <c r="F308" i="6"/>
  <c r="E308" i="6"/>
  <c r="D308" i="6"/>
  <c r="C308" i="6"/>
  <c r="B308" i="6"/>
  <c r="A308" i="6"/>
  <c r="F302" i="6"/>
  <c r="E302" i="6"/>
  <c r="D302" i="6"/>
  <c r="C302" i="6"/>
  <c r="B302" i="6"/>
  <c r="A302" i="6"/>
  <c r="F303" i="6"/>
  <c r="E303" i="6"/>
  <c r="D303" i="6"/>
  <c r="C303" i="6"/>
  <c r="B303" i="6"/>
  <c r="A303" i="6"/>
  <c r="F304" i="6"/>
  <c r="E304" i="6"/>
  <c r="D304" i="6"/>
  <c r="C304" i="6"/>
  <c r="B304" i="6"/>
  <c r="A304" i="6"/>
  <c r="F299" i="6"/>
  <c r="E299" i="6"/>
  <c r="D299" i="6"/>
  <c r="C299" i="6"/>
  <c r="B299" i="6"/>
  <c r="A299" i="6"/>
  <c r="F301" i="6"/>
  <c r="E301" i="6"/>
  <c r="D301" i="6"/>
  <c r="C301" i="6"/>
  <c r="B301" i="6"/>
  <c r="A301" i="6"/>
  <c r="F300" i="6"/>
  <c r="E300" i="6"/>
  <c r="D300" i="6"/>
  <c r="C300" i="6"/>
  <c r="B300" i="6"/>
  <c r="A300" i="6"/>
  <c r="F297" i="6"/>
  <c r="E297" i="6"/>
  <c r="D297" i="6"/>
  <c r="C297" i="6"/>
  <c r="B297" i="6"/>
  <c r="A297" i="6"/>
  <c r="F295" i="6"/>
  <c r="E295" i="6"/>
  <c r="D295" i="6"/>
  <c r="C295" i="6"/>
  <c r="B295" i="6"/>
  <c r="A295" i="6"/>
  <c r="F298" i="6"/>
  <c r="E298" i="6"/>
  <c r="D298" i="6"/>
  <c r="C298" i="6"/>
  <c r="B298" i="6"/>
  <c r="A298" i="6"/>
  <c r="F296" i="6"/>
  <c r="E296" i="6"/>
  <c r="D296" i="6"/>
  <c r="C296" i="6"/>
  <c r="B296" i="6"/>
  <c r="A296" i="6"/>
  <c r="F291" i="6"/>
  <c r="E291" i="6"/>
  <c r="D291" i="6"/>
  <c r="C291" i="6"/>
  <c r="B291" i="6"/>
  <c r="A291" i="6"/>
  <c r="F292" i="6"/>
  <c r="E292" i="6"/>
  <c r="D292" i="6"/>
  <c r="C292" i="6"/>
  <c r="B292" i="6"/>
  <c r="A292" i="6"/>
  <c r="F293" i="6"/>
  <c r="E293" i="6"/>
  <c r="D293" i="6"/>
  <c r="C293" i="6"/>
  <c r="B293" i="6"/>
  <c r="A293" i="6"/>
  <c r="F294" i="6"/>
  <c r="E294" i="6"/>
  <c r="D294" i="6"/>
  <c r="C294" i="6"/>
  <c r="B294" i="6"/>
  <c r="A294" i="6"/>
  <c r="F290" i="6"/>
  <c r="E290" i="6"/>
  <c r="D290" i="6"/>
  <c r="C290" i="6"/>
  <c r="B290" i="6"/>
  <c r="A290" i="6"/>
  <c r="F289" i="6"/>
  <c r="E289" i="6"/>
  <c r="D289" i="6"/>
  <c r="C289" i="6"/>
  <c r="B289" i="6"/>
  <c r="A289" i="6"/>
  <c r="F287" i="6"/>
  <c r="E287" i="6"/>
  <c r="D287" i="6"/>
  <c r="C287" i="6"/>
  <c r="B287" i="6"/>
  <c r="A287" i="6"/>
  <c r="F288" i="6"/>
  <c r="E288" i="6"/>
  <c r="D288" i="6"/>
  <c r="C288" i="6"/>
  <c r="B288" i="6"/>
  <c r="A288" i="6"/>
  <c r="F283" i="6"/>
  <c r="E283" i="6"/>
  <c r="G283" i="6" s="1"/>
  <c r="H283" i="6" s="1"/>
  <c r="D283" i="6"/>
  <c r="C283" i="6"/>
  <c r="B283" i="6"/>
  <c r="A283" i="6"/>
  <c r="F285" i="6"/>
  <c r="E285" i="6"/>
  <c r="D285" i="6"/>
  <c r="C285" i="6"/>
  <c r="B285" i="6"/>
  <c r="A285" i="6"/>
  <c r="F284" i="6"/>
  <c r="E284" i="6"/>
  <c r="D284" i="6"/>
  <c r="C284" i="6"/>
  <c r="B284" i="6"/>
  <c r="A284" i="6"/>
  <c r="F286" i="6"/>
  <c r="E286" i="6"/>
  <c r="D286" i="6"/>
  <c r="C286" i="6"/>
  <c r="B286" i="6"/>
  <c r="A286" i="6"/>
  <c r="F281" i="6"/>
  <c r="E281" i="6"/>
  <c r="D281" i="6"/>
  <c r="C281" i="6"/>
  <c r="B281" i="6"/>
  <c r="A281" i="6"/>
  <c r="F279" i="6"/>
  <c r="E279" i="6"/>
  <c r="D279" i="6"/>
  <c r="C279" i="6"/>
  <c r="B279" i="6"/>
  <c r="A279" i="6"/>
  <c r="F282" i="6"/>
  <c r="E282" i="6"/>
  <c r="D282" i="6"/>
  <c r="C282" i="6"/>
  <c r="B282" i="6"/>
  <c r="A282" i="6"/>
  <c r="F280" i="6"/>
  <c r="E280" i="6"/>
  <c r="D280" i="6"/>
  <c r="C280" i="6"/>
  <c r="B280" i="6"/>
  <c r="A280" i="6"/>
  <c r="F277" i="6"/>
  <c r="E277" i="6"/>
  <c r="G277" i="6" s="1"/>
  <c r="H277" i="6" s="1"/>
  <c r="D277" i="6"/>
  <c r="C277" i="6"/>
  <c r="B277" i="6"/>
  <c r="A277" i="6"/>
  <c r="F275" i="6"/>
  <c r="E275" i="6"/>
  <c r="D275" i="6"/>
  <c r="C275" i="6"/>
  <c r="B275" i="6"/>
  <c r="A275" i="6"/>
  <c r="F276" i="6"/>
  <c r="E276" i="6"/>
  <c r="D276" i="6"/>
  <c r="C276" i="6"/>
  <c r="B276" i="6"/>
  <c r="A276" i="6"/>
  <c r="F278" i="6"/>
  <c r="E278" i="6"/>
  <c r="D278" i="6"/>
  <c r="C278" i="6"/>
  <c r="B278" i="6"/>
  <c r="A278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F273" i="6"/>
  <c r="E273" i="6"/>
  <c r="D273" i="6"/>
  <c r="C273" i="6"/>
  <c r="B273" i="6"/>
  <c r="A273" i="6"/>
  <c r="F274" i="6"/>
  <c r="E274" i="6"/>
  <c r="G274" i="6" s="1"/>
  <c r="H274" i="6" s="1"/>
  <c r="D274" i="6"/>
  <c r="C274" i="6"/>
  <c r="B274" i="6"/>
  <c r="A274" i="6"/>
  <c r="F269" i="6"/>
  <c r="E269" i="6"/>
  <c r="D269" i="6"/>
  <c r="C269" i="6"/>
  <c r="B269" i="6"/>
  <c r="A269" i="6"/>
  <c r="F268" i="6"/>
  <c r="E268" i="6"/>
  <c r="D268" i="6"/>
  <c r="C268" i="6"/>
  <c r="B268" i="6"/>
  <c r="A268" i="6"/>
  <c r="F267" i="6"/>
  <c r="E267" i="6"/>
  <c r="D267" i="6"/>
  <c r="C267" i="6"/>
  <c r="B267" i="6"/>
  <c r="A267" i="6"/>
  <c r="F270" i="6"/>
  <c r="E270" i="6"/>
  <c r="D270" i="6"/>
  <c r="C270" i="6"/>
  <c r="B270" i="6"/>
  <c r="A270" i="6"/>
  <c r="F263" i="6"/>
  <c r="E263" i="6"/>
  <c r="D263" i="6"/>
  <c r="C263" i="6"/>
  <c r="B263" i="6"/>
  <c r="A263" i="6"/>
  <c r="F266" i="6"/>
  <c r="E266" i="6"/>
  <c r="D266" i="6"/>
  <c r="C266" i="6"/>
  <c r="B266" i="6"/>
  <c r="A266" i="6"/>
  <c r="F264" i="6"/>
  <c r="E264" i="6"/>
  <c r="D264" i="6"/>
  <c r="C264" i="6"/>
  <c r="B264" i="6"/>
  <c r="A264" i="6"/>
  <c r="F265" i="6"/>
  <c r="E265" i="6"/>
  <c r="D265" i="6"/>
  <c r="C265" i="6"/>
  <c r="B265" i="6"/>
  <c r="A265" i="6"/>
  <c r="F261" i="6"/>
  <c r="E261" i="6"/>
  <c r="D261" i="6"/>
  <c r="C261" i="6"/>
  <c r="B261" i="6"/>
  <c r="A261" i="6"/>
  <c r="F260" i="6"/>
  <c r="E260" i="6"/>
  <c r="D260" i="6"/>
  <c r="C260" i="6"/>
  <c r="B260" i="6"/>
  <c r="A260" i="6"/>
  <c r="F259" i="6"/>
  <c r="E259" i="6"/>
  <c r="D259" i="6"/>
  <c r="C259" i="6"/>
  <c r="B259" i="6"/>
  <c r="A259" i="6"/>
  <c r="F262" i="6"/>
  <c r="E262" i="6"/>
  <c r="D262" i="6"/>
  <c r="C262" i="6"/>
  <c r="B262" i="6"/>
  <c r="A262" i="6"/>
  <c r="F256" i="6"/>
  <c r="E256" i="6"/>
  <c r="G256" i="6" s="1"/>
  <c r="H256" i="6" s="1"/>
  <c r="D256" i="6"/>
  <c r="C256" i="6"/>
  <c r="B256" i="6"/>
  <c r="A256" i="6"/>
  <c r="F257" i="6"/>
  <c r="E257" i="6"/>
  <c r="D257" i="6"/>
  <c r="C257" i="6"/>
  <c r="B257" i="6"/>
  <c r="A257" i="6"/>
  <c r="F255" i="6"/>
  <c r="E255" i="6"/>
  <c r="D255" i="6"/>
  <c r="C255" i="6"/>
  <c r="B255" i="6"/>
  <c r="A255" i="6"/>
  <c r="F258" i="6"/>
  <c r="E258" i="6"/>
  <c r="G258" i="6" s="1"/>
  <c r="H258" i="6" s="1"/>
  <c r="D258" i="6"/>
  <c r="C258" i="6"/>
  <c r="B258" i="6"/>
  <c r="A258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F254" i="6"/>
  <c r="E254" i="6"/>
  <c r="D254" i="6"/>
  <c r="C254" i="6"/>
  <c r="B254" i="6"/>
  <c r="A254" i="6"/>
  <c r="F249" i="6"/>
  <c r="E249" i="6"/>
  <c r="D249" i="6"/>
  <c r="C249" i="6"/>
  <c r="B249" i="6"/>
  <c r="A249" i="6"/>
  <c r="F251" i="6"/>
  <c r="E251" i="6"/>
  <c r="G251" i="6" s="1"/>
  <c r="H251" i="6" s="1"/>
  <c r="D251" i="6"/>
  <c r="C251" i="6"/>
  <c r="B251" i="6"/>
  <c r="A251" i="6"/>
  <c r="F250" i="6"/>
  <c r="E250" i="6"/>
  <c r="G250" i="6" s="1"/>
  <c r="H250" i="6" s="1"/>
  <c r="D250" i="6"/>
  <c r="C250" i="6"/>
  <c r="B250" i="6"/>
  <c r="A250" i="6"/>
  <c r="F248" i="6"/>
  <c r="E248" i="6"/>
  <c r="D248" i="6"/>
  <c r="C248" i="6"/>
  <c r="B248" i="6"/>
  <c r="A248" i="6"/>
  <c r="F247" i="6"/>
  <c r="E247" i="6"/>
  <c r="D247" i="6"/>
  <c r="C247" i="6"/>
  <c r="B247" i="6"/>
  <c r="A247" i="6"/>
  <c r="F245" i="6"/>
  <c r="E245" i="6"/>
  <c r="D245" i="6"/>
  <c r="C245" i="6"/>
  <c r="B245" i="6"/>
  <c r="A245" i="6"/>
  <c r="F244" i="6"/>
  <c r="E244" i="6"/>
  <c r="D244" i="6"/>
  <c r="C244" i="6"/>
  <c r="B244" i="6"/>
  <c r="A244" i="6"/>
  <c r="F246" i="6"/>
  <c r="E246" i="6"/>
  <c r="D246" i="6"/>
  <c r="C246" i="6"/>
  <c r="B246" i="6"/>
  <c r="A246" i="6"/>
  <c r="F241" i="6"/>
  <c r="E241" i="6"/>
  <c r="D241" i="6"/>
  <c r="C241" i="6"/>
  <c r="B241" i="6"/>
  <c r="A241" i="6"/>
  <c r="F242" i="6"/>
  <c r="E242" i="6"/>
  <c r="G242" i="6" s="1"/>
  <c r="H242" i="6" s="1"/>
  <c r="D242" i="6"/>
  <c r="C242" i="6"/>
  <c r="B242" i="6"/>
  <c r="A242" i="6"/>
  <c r="F243" i="6"/>
  <c r="E243" i="6"/>
  <c r="G243" i="6" s="1"/>
  <c r="H243" i="6" s="1"/>
  <c r="D243" i="6"/>
  <c r="C243" i="6"/>
  <c r="B243" i="6"/>
  <c r="A243" i="6"/>
  <c r="F239" i="6"/>
  <c r="E239" i="6"/>
  <c r="D239" i="6"/>
  <c r="C239" i="6"/>
  <c r="B239" i="6"/>
  <c r="A239" i="6"/>
  <c r="F240" i="6"/>
  <c r="E240" i="6"/>
  <c r="D240" i="6"/>
  <c r="C240" i="6"/>
  <c r="B240" i="6"/>
  <c r="A240" i="6"/>
  <c r="F238" i="6"/>
  <c r="E238" i="6"/>
  <c r="D238" i="6"/>
  <c r="C238" i="6"/>
  <c r="B238" i="6"/>
  <c r="A238" i="6"/>
  <c r="F237" i="6"/>
  <c r="E237" i="6"/>
  <c r="G237" i="6" s="1"/>
  <c r="H237" i="6" s="1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F234" i="6"/>
  <c r="E234" i="6"/>
  <c r="G234" i="6" s="1"/>
  <c r="H234" i="6" s="1"/>
  <c r="D234" i="6"/>
  <c r="C234" i="6"/>
  <c r="B234" i="6"/>
  <c r="A234" i="6"/>
  <c r="F233" i="6"/>
  <c r="E233" i="6"/>
  <c r="G233" i="6" s="1"/>
  <c r="H233" i="6" s="1"/>
  <c r="D233" i="6"/>
  <c r="C233" i="6"/>
  <c r="B233" i="6"/>
  <c r="A233" i="6"/>
  <c r="F229" i="6"/>
  <c r="E229" i="6"/>
  <c r="D229" i="6"/>
  <c r="C229" i="6"/>
  <c r="B229" i="6"/>
  <c r="A229" i="6"/>
  <c r="F230" i="6"/>
  <c r="E230" i="6"/>
  <c r="D230" i="6"/>
  <c r="C230" i="6"/>
  <c r="B230" i="6"/>
  <c r="A230" i="6"/>
  <c r="F231" i="6"/>
  <c r="E231" i="6"/>
  <c r="D231" i="6"/>
  <c r="C231" i="6"/>
  <c r="B231" i="6"/>
  <c r="A231" i="6"/>
  <c r="F232" i="6"/>
  <c r="E232" i="6"/>
  <c r="D232" i="6"/>
  <c r="C232" i="6"/>
  <c r="B232" i="6"/>
  <c r="A232" i="6"/>
  <c r="F228" i="6"/>
  <c r="E228" i="6"/>
  <c r="D228" i="6"/>
  <c r="C228" i="6"/>
  <c r="B228" i="6"/>
  <c r="A228" i="6"/>
  <c r="F227" i="6"/>
  <c r="E227" i="6"/>
  <c r="D227" i="6"/>
  <c r="C227" i="6"/>
  <c r="B227" i="6"/>
  <c r="A227" i="6"/>
  <c r="F225" i="6"/>
  <c r="E225" i="6"/>
  <c r="D225" i="6"/>
  <c r="C225" i="6"/>
  <c r="B225" i="6"/>
  <c r="A225" i="6"/>
  <c r="F226" i="6"/>
  <c r="E226" i="6"/>
  <c r="D226" i="6"/>
  <c r="C226" i="6"/>
  <c r="B226" i="6"/>
  <c r="A226" i="6"/>
  <c r="F223" i="6"/>
  <c r="E223" i="6"/>
  <c r="D223" i="6"/>
  <c r="C223" i="6"/>
  <c r="B223" i="6"/>
  <c r="A223" i="6"/>
  <c r="F222" i="6"/>
  <c r="E222" i="6"/>
  <c r="D222" i="6"/>
  <c r="C222" i="6"/>
  <c r="B222" i="6"/>
  <c r="A222" i="6"/>
  <c r="F224" i="6"/>
  <c r="E224" i="6"/>
  <c r="D224" i="6"/>
  <c r="C224" i="6"/>
  <c r="B224" i="6"/>
  <c r="A224" i="6"/>
  <c r="F221" i="6"/>
  <c r="E221" i="6"/>
  <c r="D221" i="6"/>
  <c r="C221" i="6"/>
  <c r="B221" i="6"/>
  <c r="A221" i="6"/>
  <c r="F220" i="6"/>
  <c r="E220" i="6"/>
  <c r="D220" i="6"/>
  <c r="C220" i="6"/>
  <c r="B220" i="6"/>
  <c r="A220" i="6"/>
  <c r="F219" i="6"/>
  <c r="E219" i="6"/>
  <c r="D219" i="6"/>
  <c r="C219" i="6"/>
  <c r="B219" i="6"/>
  <c r="A219" i="6"/>
  <c r="F218" i="6"/>
  <c r="E218" i="6"/>
  <c r="D218" i="6"/>
  <c r="C218" i="6"/>
  <c r="B218" i="6"/>
  <c r="A218" i="6"/>
  <c r="F217" i="6"/>
  <c r="E217" i="6"/>
  <c r="D217" i="6"/>
  <c r="C217" i="6"/>
  <c r="B217" i="6"/>
  <c r="A217" i="6"/>
  <c r="F216" i="6"/>
  <c r="E216" i="6"/>
  <c r="D216" i="6"/>
  <c r="C216" i="6"/>
  <c r="B216" i="6"/>
  <c r="A216" i="6"/>
  <c r="F215" i="6"/>
  <c r="E215" i="6"/>
  <c r="D215" i="6"/>
  <c r="C215" i="6"/>
  <c r="B215" i="6"/>
  <c r="A215" i="6"/>
  <c r="F213" i="6"/>
  <c r="E213" i="6"/>
  <c r="D213" i="6"/>
  <c r="C213" i="6"/>
  <c r="B213" i="6"/>
  <c r="A213" i="6"/>
  <c r="F211" i="6"/>
  <c r="E211" i="6"/>
  <c r="G211" i="6" s="1"/>
  <c r="H211" i="6" s="1"/>
  <c r="D211" i="6"/>
  <c r="C211" i="6"/>
  <c r="B211" i="6"/>
  <c r="A211" i="6"/>
  <c r="F214" i="6"/>
  <c r="E214" i="6"/>
  <c r="D214" i="6"/>
  <c r="C214" i="6"/>
  <c r="B214" i="6"/>
  <c r="A214" i="6"/>
  <c r="F212" i="6"/>
  <c r="E212" i="6"/>
  <c r="G212" i="6" s="1"/>
  <c r="H212" i="6" s="1"/>
  <c r="D212" i="6"/>
  <c r="C212" i="6"/>
  <c r="B212" i="6"/>
  <c r="A212" i="6"/>
  <c r="F209" i="6"/>
  <c r="E209" i="6"/>
  <c r="D209" i="6"/>
  <c r="C209" i="6"/>
  <c r="B209" i="6"/>
  <c r="A209" i="6"/>
  <c r="F210" i="6"/>
  <c r="E210" i="6"/>
  <c r="D210" i="6"/>
  <c r="C210" i="6"/>
  <c r="B210" i="6"/>
  <c r="A210" i="6"/>
  <c r="F207" i="6"/>
  <c r="E207" i="6"/>
  <c r="D207" i="6"/>
  <c r="C207" i="6"/>
  <c r="B207" i="6"/>
  <c r="A207" i="6"/>
  <c r="F208" i="6"/>
  <c r="E208" i="6"/>
  <c r="D208" i="6"/>
  <c r="C208" i="6"/>
  <c r="B208" i="6"/>
  <c r="A208" i="6"/>
  <c r="F204" i="6"/>
  <c r="E204" i="6"/>
  <c r="D204" i="6"/>
  <c r="C204" i="6"/>
  <c r="B204" i="6"/>
  <c r="A204" i="6"/>
  <c r="F205" i="6"/>
  <c r="E205" i="6"/>
  <c r="D205" i="6"/>
  <c r="C205" i="6"/>
  <c r="B205" i="6"/>
  <c r="A205" i="6"/>
  <c r="F206" i="6"/>
  <c r="E206" i="6"/>
  <c r="D206" i="6"/>
  <c r="C206" i="6"/>
  <c r="B206" i="6"/>
  <c r="A206" i="6"/>
  <c r="F203" i="6"/>
  <c r="E203" i="6"/>
  <c r="D203" i="6"/>
  <c r="C203" i="6"/>
  <c r="B203" i="6"/>
  <c r="A203" i="6"/>
  <c r="F202" i="6"/>
  <c r="E202" i="6"/>
  <c r="D202" i="6"/>
  <c r="C202" i="6"/>
  <c r="B202" i="6"/>
  <c r="A202" i="6"/>
  <c r="F201" i="6"/>
  <c r="E201" i="6"/>
  <c r="G201" i="6" s="1"/>
  <c r="H201" i="6" s="1"/>
  <c r="D201" i="6"/>
  <c r="C201" i="6"/>
  <c r="B201" i="6"/>
  <c r="A201" i="6"/>
  <c r="F199" i="6"/>
  <c r="E199" i="6"/>
  <c r="D199" i="6"/>
  <c r="C199" i="6"/>
  <c r="B199" i="6"/>
  <c r="A199" i="6"/>
  <c r="F200" i="6"/>
  <c r="E200" i="6"/>
  <c r="D200" i="6"/>
  <c r="C200" i="6"/>
  <c r="B200" i="6"/>
  <c r="A200" i="6"/>
  <c r="F197" i="6"/>
  <c r="E197" i="6"/>
  <c r="D197" i="6"/>
  <c r="C197" i="6"/>
  <c r="B197" i="6"/>
  <c r="A197" i="6"/>
  <c r="F198" i="6"/>
  <c r="E198" i="6"/>
  <c r="D198" i="6"/>
  <c r="C198" i="6"/>
  <c r="B198" i="6"/>
  <c r="A198" i="6"/>
  <c r="F195" i="6"/>
  <c r="E195" i="6"/>
  <c r="G195" i="6" s="1"/>
  <c r="H195" i="6" s="1"/>
  <c r="D195" i="6"/>
  <c r="C195" i="6"/>
  <c r="B195" i="6"/>
  <c r="A195" i="6"/>
  <c r="F196" i="6"/>
  <c r="E196" i="6"/>
  <c r="D196" i="6"/>
  <c r="C196" i="6"/>
  <c r="B196" i="6"/>
  <c r="A196" i="6"/>
  <c r="F191" i="6"/>
  <c r="E191" i="6"/>
  <c r="D191" i="6"/>
  <c r="C191" i="6"/>
  <c r="B191" i="6"/>
  <c r="A191" i="6"/>
  <c r="F193" i="6"/>
  <c r="E193" i="6"/>
  <c r="G193" i="6" s="1"/>
  <c r="H193" i="6" s="1"/>
  <c r="D193" i="6"/>
  <c r="C193" i="6"/>
  <c r="B193" i="6"/>
  <c r="A193" i="6"/>
  <c r="F194" i="6"/>
  <c r="E194" i="6"/>
  <c r="D194" i="6"/>
  <c r="C194" i="6"/>
  <c r="B194" i="6"/>
  <c r="A194" i="6"/>
  <c r="F192" i="6"/>
  <c r="E192" i="6"/>
  <c r="D192" i="6"/>
  <c r="C192" i="6"/>
  <c r="B192" i="6"/>
  <c r="A192" i="6"/>
  <c r="F188" i="6"/>
  <c r="E188" i="6"/>
  <c r="D188" i="6"/>
  <c r="C188" i="6"/>
  <c r="B188" i="6"/>
  <c r="A188" i="6"/>
  <c r="F189" i="6"/>
  <c r="E189" i="6"/>
  <c r="G189" i="6" s="1"/>
  <c r="H189" i="6" s="1"/>
  <c r="D189" i="6"/>
  <c r="C189" i="6"/>
  <c r="B189" i="6"/>
  <c r="A189" i="6"/>
  <c r="F190" i="6"/>
  <c r="E190" i="6"/>
  <c r="D190" i="6"/>
  <c r="C190" i="6"/>
  <c r="B190" i="6"/>
  <c r="A190" i="6"/>
  <c r="F187" i="6"/>
  <c r="E187" i="6"/>
  <c r="D187" i="6"/>
  <c r="C187" i="6"/>
  <c r="B187" i="6"/>
  <c r="A187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F184" i="6"/>
  <c r="E184" i="6"/>
  <c r="D184" i="6"/>
  <c r="C184" i="6"/>
  <c r="B184" i="6"/>
  <c r="A184" i="6"/>
  <c r="F182" i="6"/>
  <c r="E182" i="6"/>
  <c r="D182" i="6"/>
  <c r="C182" i="6"/>
  <c r="B182" i="6"/>
  <c r="A182" i="6"/>
  <c r="F180" i="6"/>
  <c r="E180" i="6"/>
  <c r="D180" i="6"/>
  <c r="C180" i="6"/>
  <c r="B180" i="6"/>
  <c r="A180" i="6"/>
  <c r="F181" i="6"/>
  <c r="E181" i="6"/>
  <c r="D181" i="6"/>
  <c r="C181" i="6"/>
  <c r="B181" i="6"/>
  <c r="A181" i="6"/>
  <c r="F183" i="6"/>
  <c r="E183" i="6"/>
  <c r="D183" i="6"/>
  <c r="C183" i="6"/>
  <c r="B183" i="6"/>
  <c r="A183" i="6"/>
  <c r="F179" i="6"/>
  <c r="E179" i="6"/>
  <c r="G179" i="6" s="1"/>
  <c r="H179" i="6" s="1"/>
  <c r="D179" i="6"/>
  <c r="C179" i="6"/>
  <c r="B179" i="6"/>
  <c r="A179" i="6"/>
  <c r="F178" i="6"/>
  <c r="E178" i="6"/>
  <c r="D178" i="6"/>
  <c r="C178" i="6"/>
  <c r="B178" i="6"/>
  <c r="A178" i="6"/>
  <c r="F176" i="6"/>
  <c r="E176" i="6"/>
  <c r="D176" i="6"/>
  <c r="C176" i="6"/>
  <c r="B176" i="6"/>
  <c r="A176" i="6"/>
  <c r="F177" i="6"/>
  <c r="E177" i="6"/>
  <c r="D177" i="6"/>
  <c r="C177" i="6"/>
  <c r="B177" i="6"/>
  <c r="A177" i="6"/>
  <c r="F173" i="6"/>
  <c r="E173" i="6"/>
  <c r="D173" i="6"/>
  <c r="C173" i="6"/>
  <c r="B173" i="6"/>
  <c r="A173" i="6"/>
  <c r="F174" i="6"/>
  <c r="E174" i="6"/>
  <c r="D174" i="6"/>
  <c r="C174" i="6"/>
  <c r="B174" i="6"/>
  <c r="A174" i="6"/>
  <c r="F172" i="6"/>
  <c r="E172" i="6"/>
  <c r="G172" i="6" s="1"/>
  <c r="H172" i="6" s="1"/>
  <c r="D172" i="6"/>
  <c r="C172" i="6"/>
  <c r="B172" i="6"/>
  <c r="A172" i="6"/>
  <c r="F175" i="6"/>
  <c r="E175" i="6"/>
  <c r="G175" i="6" s="1"/>
  <c r="H175" i="6" s="1"/>
  <c r="D175" i="6"/>
  <c r="C175" i="6"/>
  <c r="B175" i="6"/>
  <c r="A175" i="6"/>
  <c r="F169" i="6"/>
  <c r="E169" i="6"/>
  <c r="D169" i="6"/>
  <c r="C169" i="6"/>
  <c r="B169" i="6"/>
  <c r="A169" i="6"/>
  <c r="F170" i="6"/>
  <c r="E170" i="6"/>
  <c r="D170" i="6"/>
  <c r="C170" i="6"/>
  <c r="B170" i="6"/>
  <c r="A170" i="6"/>
  <c r="F171" i="6"/>
  <c r="E171" i="6"/>
  <c r="D171" i="6"/>
  <c r="C171" i="6"/>
  <c r="B171" i="6"/>
  <c r="A171" i="6"/>
  <c r="F168" i="6"/>
  <c r="E168" i="6"/>
  <c r="D168" i="6"/>
  <c r="C168" i="6"/>
  <c r="B168" i="6"/>
  <c r="A168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7" i="6"/>
  <c r="E167" i="6"/>
  <c r="D167" i="6"/>
  <c r="C167" i="6"/>
  <c r="B167" i="6"/>
  <c r="A167" i="6"/>
  <c r="F166" i="6"/>
  <c r="E166" i="6"/>
  <c r="G166" i="6" s="1"/>
  <c r="H166" i="6" s="1"/>
  <c r="D166" i="6"/>
  <c r="C166" i="6"/>
  <c r="B166" i="6"/>
  <c r="A166" i="6"/>
  <c r="F161" i="6"/>
  <c r="E161" i="6"/>
  <c r="D161" i="6"/>
  <c r="C161" i="6"/>
  <c r="B161" i="6"/>
  <c r="A161" i="6"/>
  <c r="F162" i="6"/>
  <c r="E162" i="6"/>
  <c r="D162" i="6"/>
  <c r="C162" i="6"/>
  <c r="B162" i="6"/>
  <c r="A162" i="6"/>
  <c r="F163" i="6"/>
  <c r="E163" i="6"/>
  <c r="D163" i="6"/>
  <c r="C163" i="6"/>
  <c r="B163" i="6"/>
  <c r="A163" i="6"/>
  <c r="F160" i="6"/>
  <c r="E160" i="6"/>
  <c r="D160" i="6"/>
  <c r="C160" i="6"/>
  <c r="B160" i="6"/>
  <c r="A160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9" i="6"/>
  <c r="E159" i="6"/>
  <c r="G159" i="6" s="1"/>
  <c r="H159" i="6" s="1"/>
  <c r="D159" i="6"/>
  <c r="C159" i="6"/>
  <c r="B159" i="6"/>
  <c r="A159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0" i="6"/>
  <c r="E150" i="6"/>
  <c r="D150" i="6"/>
  <c r="C150" i="6"/>
  <c r="B150" i="6"/>
  <c r="A150" i="6"/>
  <c r="F152" i="6"/>
  <c r="E152" i="6"/>
  <c r="D152" i="6"/>
  <c r="C152" i="6"/>
  <c r="B152" i="6"/>
  <c r="A152" i="6"/>
  <c r="F149" i="6"/>
  <c r="E149" i="6"/>
  <c r="D149" i="6"/>
  <c r="C149" i="6"/>
  <c r="B149" i="6"/>
  <c r="A149" i="6"/>
  <c r="F151" i="6"/>
  <c r="E151" i="6"/>
  <c r="D151" i="6"/>
  <c r="C151" i="6"/>
  <c r="B151" i="6"/>
  <c r="A151" i="6"/>
  <c r="F146" i="6"/>
  <c r="E146" i="6"/>
  <c r="G146" i="6" s="1"/>
  <c r="H146" i="6" s="1"/>
  <c r="D146" i="6"/>
  <c r="C146" i="6"/>
  <c r="B146" i="6"/>
  <c r="A146" i="6"/>
  <c r="F145" i="6"/>
  <c r="E145" i="6"/>
  <c r="D145" i="6"/>
  <c r="C145" i="6"/>
  <c r="B145" i="6"/>
  <c r="A145" i="6"/>
  <c r="F147" i="6"/>
  <c r="E147" i="6"/>
  <c r="D147" i="6"/>
  <c r="C147" i="6"/>
  <c r="B147" i="6"/>
  <c r="A147" i="6"/>
  <c r="F148" i="6"/>
  <c r="E148" i="6"/>
  <c r="D148" i="6"/>
  <c r="C148" i="6"/>
  <c r="B148" i="6"/>
  <c r="A148" i="6"/>
  <c r="F141" i="6"/>
  <c r="E141" i="6"/>
  <c r="D141" i="6"/>
  <c r="C141" i="6"/>
  <c r="B141" i="6"/>
  <c r="A141" i="6"/>
  <c r="F142" i="6"/>
  <c r="E142" i="6"/>
  <c r="D142" i="6"/>
  <c r="C142" i="6"/>
  <c r="B142" i="6"/>
  <c r="A142" i="6"/>
  <c r="F143" i="6"/>
  <c r="E143" i="6"/>
  <c r="D143" i="6"/>
  <c r="C143" i="6"/>
  <c r="B143" i="6"/>
  <c r="A143" i="6"/>
  <c r="F144" i="6"/>
  <c r="E144" i="6"/>
  <c r="D144" i="6"/>
  <c r="C144" i="6"/>
  <c r="B144" i="6"/>
  <c r="A144" i="6"/>
  <c r="F139" i="6"/>
  <c r="E139" i="6"/>
  <c r="G139" i="6" s="1"/>
  <c r="H139" i="6" s="1"/>
  <c r="D139" i="6"/>
  <c r="C139" i="6"/>
  <c r="B139" i="6"/>
  <c r="A139" i="6"/>
  <c r="F138" i="6"/>
  <c r="E138" i="6"/>
  <c r="D138" i="6"/>
  <c r="C138" i="6"/>
  <c r="B138" i="6"/>
  <c r="A138" i="6"/>
  <c r="F140" i="6"/>
  <c r="E140" i="6"/>
  <c r="D140" i="6"/>
  <c r="C140" i="6"/>
  <c r="B140" i="6"/>
  <c r="A140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4" i="6"/>
  <c r="E134" i="6"/>
  <c r="D134" i="6"/>
  <c r="C134" i="6"/>
  <c r="B134" i="6"/>
  <c r="A134" i="6"/>
  <c r="F135" i="6"/>
  <c r="E135" i="6"/>
  <c r="G135" i="6" s="1"/>
  <c r="H135" i="6" s="1"/>
  <c r="D135" i="6"/>
  <c r="C135" i="6"/>
  <c r="B135" i="6"/>
  <c r="A135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3" i="6"/>
  <c r="E133" i="6"/>
  <c r="D133" i="6"/>
  <c r="C133" i="6"/>
  <c r="B133" i="6"/>
  <c r="A133" i="6"/>
  <c r="F129" i="6"/>
  <c r="E129" i="6"/>
  <c r="D129" i="6"/>
  <c r="C129" i="6"/>
  <c r="B129" i="6"/>
  <c r="A129" i="6"/>
  <c r="F130" i="6"/>
  <c r="E130" i="6"/>
  <c r="D130" i="6"/>
  <c r="C130" i="6"/>
  <c r="B130" i="6"/>
  <c r="A130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5" i="6"/>
  <c r="E125" i="6"/>
  <c r="G125" i="6" s="1"/>
  <c r="H125" i="6" s="1"/>
  <c r="D125" i="6"/>
  <c r="C125" i="6"/>
  <c r="B125" i="6"/>
  <c r="A125" i="6"/>
  <c r="F124" i="6"/>
  <c r="E124" i="6"/>
  <c r="D124" i="6"/>
  <c r="C124" i="6"/>
  <c r="B124" i="6"/>
  <c r="A124" i="6"/>
  <c r="F126" i="6"/>
  <c r="E126" i="6"/>
  <c r="D126" i="6"/>
  <c r="C126" i="6"/>
  <c r="B126" i="6"/>
  <c r="A126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21" i="6"/>
  <c r="E121" i="6"/>
  <c r="D121" i="6"/>
  <c r="C121" i="6"/>
  <c r="B121" i="6"/>
  <c r="A121" i="6"/>
  <c r="F117" i="6"/>
  <c r="E117" i="6"/>
  <c r="D117" i="6"/>
  <c r="C117" i="6"/>
  <c r="B117" i="6"/>
  <c r="A117" i="6"/>
  <c r="F118" i="6"/>
  <c r="E118" i="6"/>
  <c r="D118" i="6"/>
  <c r="C118" i="6"/>
  <c r="B118" i="6"/>
  <c r="A118" i="6"/>
  <c r="F115" i="6"/>
  <c r="E115" i="6"/>
  <c r="D115" i="6"/>
  <c r="C115" i="6"/>
  <c r="B115" i="6"/>
  <c r="A115" i="6"/>
  <c r="F116" i="6"/>
  <c r="E116" i="6"/>
  <c r="D116" i="6"/>
  <c r="C116" i="6"/>
  <c r="B116" i="6"/>
  <c r="A116" i="6"/>
  <c r="F113" i="6"/>
  <c r="E113" i="6"/>
  <c r="D113" i="6"/>
  <c r="C113" i="6"/>
  <c r="B113" i="6"/>
  <c r="A113" i="6"/>
  <c r="F114" i="6"/>
  <c r="E114" i="6"/>
  <c r="D114" i="6"/>
  <c r="C114" i="6"/>
  <c r="B114" i="6"/>
  <c r="A114" i="6"/>
  <c r="F111" i="6"/>
  <c r="E111" i="6"/>
  <c r="D111" i="6"/>
  <c r="C111" i="6"/>
  <c r="B111" i="6"/>
  <c r="A111" i="6"/>
  <c r="F112" i="6"/>
  <c r="E112" i="6"/>
  <c r="D112" i="6"/>
  <c r="C112" i="6"/>
  <c r="B112" i="6"/>
  <c r="A112" i="6"/>
  <c r="F107" i="6"/>
  <c r="E107" i="6"/>
  <c r="D107" i="6"/>
  <c r="C107" i="6"/>
  <c r="B107" i="6"/>
  <c r="A107" i="6"/>
  <c r="F110" i="6"/>
  <c r="E110" i="6"/>
  <c r="G110" i="6" s="1"/>
  <c r="H110" i="6" s="1"/>
  <c r="D110" i="6"/>
  <c r="C110" i="6"/>
  <c r="B110" i="6"/>
  <c r="A110" i="6"/>
  <c r="F109" i="6"/>
  <c r="E109" i="6"/>
  <c r="G109" i="6" s="1"/>
  <c r="H109" i="6" s="1"/>
  <c r="D109" i="6"/>
  <c r="C109" i="6"/>
  <c r="B109" i="6"/>
  <c r="A109" i="6"/>
  <c r="F108" i="6"/>
  <c r="E108" i="6"/>
  <c r="D108" i="6"/>
  <c r="C108" i="6"/>
  <c r="B108" i="6"/>
  <c r="A108" i="6"/>
  <c r="F105" i="6"/>
  <c r="E105" i="6"/>
  <c r="D105" i="6"/>
  <c r="C105" i="6"/>
  <c r="B105" i="6"/>
  <c r="A105" i="6"/>
  <c r="F103" i="6"/>
  <c r="E103" i="6"/>
  <c r="D103" i="6"/>
  <c r="C103" i="6"/>
  <c r="B103" i="6"/>
  <c r="A103" i="6"/>
  <c r="F106" i="6"/>
  <c r="E106" i="6"/>
  <c r="D106" i="6"/>
  <c r="C106" i="6"/>
  <c r="B106" i="6"/>
  <c r="A106" i="6"/>
  <c r="F104" i="6"/>
  <c r="E104" i="6"/>
  <c r="D104" i="6"/>
  <c r="C104" i="6"/>
  <c r="B104" i="6"/>
  <c r="A104" i="6"/>
  <c r="F99" i="6"/>
  <c r="E99" i="6"/>
  <c r="G99" i="6" s="1"/>
  <c r="H99" i="6" s="1"/>
  <c r="D99" i="6"/>
  <c r="C99" i="6"/>
  <c r="B99" i="6"/>
  <c r="A99" i="6"/>
  <c r="F101" i="6"/>
  <c r="E101" i="6"/>
  <c r="D101" i="6"/>
  <c r="C101" i="6"/>
  <c r="B101" i="6"/>
  <c r="A101" i="6"/>
  <c r="F102" i="6"/>
  <c r="E102" i="6"/>
  <c r="D102" i="6"/>
  <c r="C102" i="6"/>
  <c r="B102" i="6"/>
  <c r="A102" i="6"/>
  <c r="F100" i="6"/>
  <c r="E100" i="6"/>
  <c r="D100" i="6"/>
  <c r="C100" i="6"/>
  <c r="B100" i="6"/>
  <c r="A100" i="6"/>
  <c r="F97" i="6"/>
  <c r="E97" i="6"/>
  <c r="D97" i="6"/>
  <c r="C97" i="6"/>
  <c r="B97" i="6"/>
  <c r="A97" i="6"/>
  <c r="F96" i="6"/>
  <c r="E96" i="6"/>
  <c r="D96" i="6"/>
  <c r="C96" i="6"/>
  <c r="B96" i="6"/>
  <c r="A96" i="6"/>
  <c r="F98" i="6"/>
  <c r="E98" i="6"/>
  <c r="D98" i="6"/>
  <c r="C98" i="6"/>
  <c r="B98" i="6"/>
  <c r="A98" i="6"/>
  <c r="F95" i="6"/>
  <c r="E95" i="6"/>
  <c r="D95" i="6"/>
  <c r="C95" i="6"/>
  <c r="B95" i="6"/>
  <c r="A95" i="6"/>
  <c r="F92" i="6"/>
  <c r="E92" i="6"/>
  <c r="G92" i="6" s="1"/>
  <c r="H92" i="6" s="1"/>
  <c r="D92" i="6"/>
  <c r="C92" i="6"/>
  <c r="B92" i="6"/>
  <c r="A92" i="6"/>
  <c r="F93" i="6"/>
  <c r="E93" i="6"/>
  <c r="D93" i="6"/>
  <c r="C93" i="6"/>
  <c r="B93" i="6"/>
  <c r="A93" i="6"/>
  <c r="F94" i="6"/>
  <c r="E94" i="6"/>
  <c r="D94" i="6"/>
  <c r="C94" i="6"/>
  <c r="B94" i="6"/>
  <c r="A94" i="6"/>
  <c r="F89" i="6"/>
  <c r="E89" i="6"/>
  <c r="D89" i="6"/>
  <c r="C89" i="6"/>
  <c r="B89" i="6"/>
  <c r="A89" i="6"/>
  <c r="F90" i="6"/>
  <c r="E90" i="6"/>
  <c r="D90" i="6"/>
  <c r="C90" i="6"/>
  <c r="B90" i="6"/>
  <c r="A90" i="6"/>
  <c r="F91" i="6"/>
  <c r="E91" i="6"/>
  <c r="D91" i="6"/>
  <c r="C91" i="6"/>
  <c r="B91" i="6"/>
  <c r="A91" i="6"/>
  <c r="F88" i="6"/>
  <c r="E88" i="6"/>
  <c r="D88" i="6"/>
  <c r="C88" i="6"/>
  <c r="B88" i="6"/>
  <c r="A88" i="6"/>
  <c r="F86" i="6"/>
  <c r="E86" i="6"/>
  <c r="G86" i="6" s="1"/>
  <c r="H86" i="6" s="1"/>
  <c r="D86" i="6"/>
  <c r="C86" i="6"/>
  <c r="B86" i="6"/>
  <c r="A86" i="6"/>
  <c r="F87" i="6"/>
  <c r="E87" i="6"/>
  <c r="G87" i="6" s="1"/>
  <c r="H87" i="6" s="1"/>
  <c r="D87" i="6"/>
  <c r="C87" i="6"/>
  <c r="B87" i="6"/>
  <c r="A87" i="6"/>
  <c r="F85" i="6"/>
  <c r="E85" i="6"/>
  <c r="D85" i="6"/>
  <c r="C85" i="6"/>
  <c r="B85" i="6"/>
  <c r="A85" i="6"/>
  <c r="F83" i="6"/>
  <c r="E83" i="6"/>
  <c r="D83" i="6"/>
  <c r="C83" i="6"/>
  <c r="B83" i="6"/>
  <c r="A83" i="6"/>
  <c r="F81" i="6"/>
  <c r="E81" i="6"/>
  <c r="D81" i="6"/>
  <c r="C81" i="6"/>
  <c r="B81" i="6"/>
  <c r="A81" i="6"/>
  <c r="F82" i="6"/>
  <c r="E82" i="6"/>
  <c r="D82" i="6"/>
  <c r="C82" i="6"/>
  <c r="B82" i="6"/>
  <c r="A82" i="6"/>
  <c r="F84" i="6"/>
  <c r="E84" i="6"/>
  <c r="D84" i="6"/>
  <c r="C84" i="6"/>
  <c r="B84" i="6"/>
  <c r="A84" i="6"/>
  <c r="F80" i="6"/>
  <c r="E80" i="6"/>
  <c r="D80" i="6"/>
  <c r="C80" i="6"/>
  <c r="B80" i="6"/>
  <c r="A80" i="6"/>
  <c r="F77" i="6"/>
  <c r="E77" i="6"/>
  <c r="D77" i="6"/>
  <c r="C77" i="6"/>
  <c r="B77" i="6"/>
  <c r="A77" i="6"/>
  <c r="F78" i="6"/>
  <c r="E78" i="6"/>
  <c r="D78" i="6"/>
  <c r="C78" i="6"/>
  <c r="B78" i="6"/>
  <c r="A78" i="6"/>
  <c r="F79" i="6"/>
  <c r="E79" i="6"/>
  <c r="D79" i="6"/>
  <c r="C79" i="6"/>
  <c r="B79" i="6"/>
  <c r="A79" i="6"/>
  <c r="F75" i="6"/>
  <c r="E75" i="6"/>
  <c r="G75" i="6" s="1"/>
  <c r="H75" i="6" s="1"/>
  <c r="D75" i="6"/>
  <c r="C75" i="6"/>
  <c r="B75" i="6"/>
  <c r="A75" i="6"/>
  <c r="F73" i="6"/>
  <c r="E73" i="6"/>
  <c r="D73" i="6"/>
  <c r="C73" i="6"/>
  <c r="B73" i="6"/>
  <c r="A73" i="6"/>
  <c r="F76" i="6"/>
  <c r="E76" i="6"/>
  <c r="G76" i="6" s="1"/>
  <c r="H76" i="6" s="1"/>
  <c r="D76" i="6"/>
  <c r="C76" i="6"/>
  <c r="B76" i="6"/>
  <c r="A76" i="6"/>
  <c r="F74" i="6"/>
  <c r="E74" i="6"/>
  <c r="D74" i="6"/>
  <c r="C74" i="6"/>
  <c r="B74" i="6"/>
  <c r="A74" i="6"/>
  <c r="F71" i="6"/>
  <c r="E71" i="6"/>
  <c r="D71" i="6"/>
  <c r="C71" i="6"/>
  <c r="B71" i="6"/>
  <c r="A71" i="6"/>
  <c r="F72" i="6"/>
  <c r="E72" i="6"/>
  <c r="G72" i="6" s="1"/>
  <c r="H72" i="6" s="1"/>
  <c r="D72" i="6"/>
  <c r="C72" i="6"/>
  <c r="B72" i="6"/>
  <c r="A72" i="6"/>
  <c r="F70" i="6"/>
  <c r="E70" i="6"/>
  <c r="D70" i="6"/>
  <c r="C70" i="6"/>
  <c r="B70" i="6"/>
  <c r="A70" i="6"/>
  <c r="F66" i="6"/>
  <c r="E66" i="6"/>
  <c r="D66" i="6"/>
  <c r="C66" i="6"/>
  <c r="B66" i="6"/>
  <c r="A66" i="6"/>
  <c r="F69" i="6"/>
  <c r="E69" i="6"/>
  <c r="D69" i="6"/>
  <c r="C69" i="6"/>
  <c r="B69" i="6"/>
  <c r="A69" i="6"/>
  <c r="F67" i="6"/>
  <c r="E67" i="6"/>
  <c r="D67" i="6"/>
  <c r="C67" i="6"/>
  <c r="B67" i="6"/>
  <c r="A67" i="6"/>
  <c r="F68" i="6"/>
  <c r="E68" i="6"/>
  <c r="D68" i="6"/>
  <c r="C68" i="6"/>
  <c r="B68" i="6"/>
  <c r="A68" i="6"/>
  <c r="F64" i="6"/>
  <c r="E64" i="6"/>
  <c r="D64" i="6"/>
  <c r="C64" i="6"/>
  <c r="B64" i="6"/>
  <c r="A64" i="6"/>
  <c r="F65" i="6"/>
  <c r="E65" i="6"/>
  <c r="D65" i="6"/>
  <c r="C65" i="6"/>
  <c r="B65" i="6"/>
  <c r="A65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6" i="6"/>
  <c r="E56" i="6"/>
  <c r="D56" i="6"/>
  <c r="C56" i="6"/>
  <c r="B56" i="6"/>
  <c r="A56" i="6"/>
  <c r="F54" i="6"/>
  <c r="E54" i="6"/>
  <c r="D54" i="6"/>
  <c r="C54" i="6"/>
  <c r="B54" i="6"/>
  <c r="A54" i="6"/>
  <c r="F55" i="6"/>
  <c r="E55" i="6"/>
  <c r="G55" i="6" s="1"/>
  <c r="H55" i="6" s="1"/>
  <c r="D55" i="6"/>
  <c r="C55" i="6"/>
  <c r="B55" i="6"/>
  <c r="A55" i="6"/>
  <c r="F57" i="6"/>
  <c r="E57" i="6"/>
  <c r="D57" i="6"/>
  <c r="C57" i="6"/>
  <c r="B57" i="6"/>
  <c r="A57" i="6"/>
  <c r="F50" i="6"/>
  <c r="E50" i="6"/>
  <c r="D50" i="6"/>
  <c r="C50" i="6"/>
  <c r="B50" i="6"/>
  <c r="A50" i="6"/>
  <c r="F52" i="6"/>
  <c r="E52" i="6"/>
  <c r="D52" i="6"/>
  <c r="C52" i="6"/>
  <c r="B52" i="6"/>
  <c r="A52" i="6"/>
  <c r="F51" i="6"/>
  <c r="E51" i="6"/>
  <c r="G51" i="6" s="1"/>
  <c r="H51" i="6" s="1"/>
  <c r="D51" i="6"/>
  <c r="C51" i="6"/>
  <c r="B51" i="6"/>
  <c r="A51" i="6"/>
  <c r="F53" i="6"/>
  <c r="E53" i="6"/>
  <c r="G53" i="6" s="1"/>
  <c r="H53" i="6" s="1"/>
  <c r="D53" i="6"/>
  <c r="C53" i="6"/>
  <c r="B53" i="6"/>
  <c r="A53" i="6"/>
  <c r="F47" i="6"/>
  <c r="E47" i="6"/>
  <c r="D47" i="6"/>
  <c r="C47" i="6"/>
  <c r="B47" i="6"/>
  <c r="A47" i="6"/>
  <c r="F46" i="6"/>
  <c r="E46" i="6"/>
  <c r="D46" i="6"/>
  <c r="C46" i="6"/>
  <c r="B46" i="6"/>
  <c r="A46" i="6"/>
  <c r="F48" i="6"/>
  <c r="E48" i="6"/>
  <c r="D48" i="6"/>
  <c r="C48" i="6"/>
  <c r="B48" i="6"/>
  <c r="A48" i="6"/>
  <c r="F49" i="6"/>
  <c r="E49" i="6"/>
  <c r="D49" i="6"/>
  <c r="C49" i="6"/>
  <c r="B49" i="6"/>
  <c r="A49" i="6"/>
  <c r="F45" i="6"/>
  <c r="E45" i="6"/>
  <c r="G45" i="6" s="1"/>
  <c r="H45" i="6" s="1"/>
  <c r="D45" i="6"/>
  <c r="C45" i="6"/>
  <c r="B45" i="6"/>
  <c r="A45" i="6"/>
  <c r="F42" i="6"/>
  <c r="E42" i="6"/>
  <c r="D42" i="6"/>
  <c r="C42" i="6"/>
  <c r="B42" i="6"/>
  <c r="A42" i="6"/>
  <c r="F43" i="6"/>
  <c r="E43" i="6"/>
  <c r="G43" i="6" s="1"/>
  <c r="H43" i="6" s="1"/>
  <c r="D43" i="6"/>
  <c r="C43" i="6"/>
  <c r="B43" i="6"/>
  <c r="A43" i="6"/>
  <c r="F44" i="6"/>
  <c r="E44" i="6"/>
  <c r="G44" i="6" s="1"/>
  <c r="H44" i="6" s="1"/>
  <c r="D44" i="6"/>
  <c r="C44" i="6"/>
  <c r="B44" i="6"/>
  <c r="A44" i="6"/>
  <c r="F39" i="6"/>
  <c r="E39" i="6"/>
  <c r="D39" i="6"/>
  <c r="C39" i="6"/>
  <c r="B39" i="6"/>
  <c r="A39" i="6"/>
  <c r="F40" i="6"/>
  <c r="E40" i="6"/>
  <c r="D40" i="6"/>
  <c r="C40" i="6"/>
  <c r="B40" i="6"/>
  <c r="A40" i="6"/>
  <c r="F41" i="6"/>
  <c r="E41" i="6"/>
  <c r="G41" i="6" s="1"/>
  <c r="H41" i="6" s="1"/>
  <c r="D41" i="6"/>
  <c r="C41" i="6"/>
  <c r="B41" i="6"/>
  <c r="A41" i="6"/>
  <c r="F38" i="6"/>
  <c r="E38" i="6"/>
  <c r="G38" i="6" s="1"/>
  <c r="H38" i="6" s="1"/>
  <c r="D38" i="6"/>
  <c r="C38" i="6"/>
  <c r="B38" i="6"/>
  <c r="A38" i="6"/>
  <c r="F36" i="6"/>
  <c r="E36" i="6"/>
  <c r="D36" i="6"/>
  <c r="C36" i="6"/>
  <c r="B36" i="6"/>
  <c r="A36" i="6"/>
  <c r="F35" i="6"/>
  <c r="E35" i="6"/>
  <c r="D35" i="6"/>
  <c r="C35" i="6"/>
  <c r="B35" i="6"/>
  <c r="A35" i="6"/>
  <c r="F37" i="6"/>
  <c r="E37" i="6"/>
  <c r="D37" i="6"/>
  <c r="C37" i="6"/>
  <c r="B37" i="6"/>
  <c r="A37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4" i="6"/>
  <c r="E34" i="6"/>
  <c r="D34" i="6"/>
  <c r="C34" i="6"/>
  <c r="B34" i="6"/>
  <c r="A34" i="6"/>
  <c r="F27" i="6"/>
  <c r="E27" i="6"/>
  <c r="G27" i="6" s="1"/>
  <c r="H27" i="6" s="1"/>
  <c r="D27" i="6"/>
  <c r="C27" i="6"/>
  <c r="B27" i="6"/>
  <c r="A27" i="6"/>
  <c r="F28" i="6"/>
  <c r="E28" i="6"/>
  <c r="D28" i="6"/>
  <c r="C28" i="6"/>
  <c r="B28" i="6"/>
  <c r="A28" i="6"/>
  <c r="F30" i="6"/>
  <c r="E30" i="6"/>
  <c r="D30" i="6"/>
  <c r="C30" i="6"/>
  <c r="B30" i="6"/>
  <c r="A30" i="6"/>
  <c r="F29" i="6"/>
  <c r="E29" i="6"/>
  <c r="D29" i="6"/>
  <c r="C29" i="6"/>
  <c r="B29" i="6"/>
  <c r="A29" i="6"/>
  <c r="F24" i="6"/>
  <c r="E24" i="6"/>
  <c r="D24" i="6"/>
  <c r="C24" i="6"/>
  <c r="B24" i="6"/>
  <c r="A24" i="6"/>
  <c r="F23" i="6"/>
  <c r="E23" i="6"/>
  <c r="D23" i="6"/>
  <c r="C23" i="6"/>
  <c r="B23" i="6"/>
  <c r="A23" i="6"/>
  <c r="F25" i="6"/>
  <c r="E25" i="6"/>
  <c r="D25" i="6"/>
  <c r="C25" i="6"/>
  <c r="B25" i="6"/>
  <c r="A25" i="6"/>
  <c r="F26" i="6"/>
  <c r="E26" i="6"/>
  <c r="G26" i="6" s="1"/>
  <c r="H26" i="6" s="1"/>
  <c r="D26" i="6"/>
  <c r="C26" i="6"/>
  <c r="B26" i="6"/>
  <c r="A26" i="6"/>
  <c r="F19" i="6"/>
  <c r="E19" i="6"/>
  <c r="G19" i="6" s="1"/>
  <c r="H19" i="6" s="1"/>
  <c r="D19" i="6"/>
  <c r="C19" i="6"/>
  <c r="B19" i="6"/>
  <c r="A19" i="6"/>
  <c r="F21" i="6"/>
  <c r="E21" i="6"/>
  <c r="D21" i="6"/>
  <c r="C21" i="6"/>
  <c r="B21" i="6"/>
  <c r="A21" i="6"/>
  <c r="F22" i="6"/>
  <c r="E22" i="6"/>
  <c r="D22" i="6"/>
  <c r="C22" i="6"/>
  <c r="B22" i="6"/>
  <c r="A22" i="6"/>
  <c r="F20" i="6"/>
  <c r="E20" i="6"/>
  <c r="G20" i="6" s="1"/>
  <c r="H20" i="6" s="1"/>
  <c r="D20" i="6"/>
  <c r="C20" i="6"/>
  <c r="B20" i="6"/>
  <c r="A20" i="6"/>
  <c r="F16" i="6"/>
  <c r="E16" i="6"/>
  <c r="D16" i="6"/>
  <c r="C16" i="6"/>
  <c r="B16" i="6"/>
  <c r="A16" i="6"/>
  <c r="F17" i="6"/>
  <c r="E17" i="6"/>
  <c r="D17" i="6"/>
  <c r="C17" i="6"/>
  <c r="B17" i="6"/>
  <c r="A17" i="6"/>
  <c r="F18" i="6"/>
  <c r="E18" i="6"/>
  <c r="D18" i="6"/>
  <c r="C18" i="6"/>
  <c r="B18" i="6"/>
  <c r="A18" i="6"/>
  <c r="F15" i="6"/>
  <c r="E15" i="6"/>
  <c r="D15" i="6"/>
  <c r="C15" i="6"/>
  <c r="B15" i="6"/>
  <c r="A15" i="6"/>
  <c r="F12" i="6"/>
  <c r="E12" i="6"/>
  <c r="D12" i="6"/>
  <c r="C12" i="6"/>
  <c r="B12" i="6"/>
  <c r="A12" i="6"/>
  <c r="F14" i="6"/>
  <c r="E14" i="6"/>
  <c r="G14" i="6" s="1"/>
  <c r="H14" i="6" s="1"/>
  <c r="D14" i="6"/>
  <c r="C14" i="6"/>
  <c r="B14" i="6"/>
  <c r="A14" i="6"/>
  <c r="F13" i="6"/>
  <c r="E13" i="6"/>
  <c r="D13" i="6"/>
  <c r="C13" i="6"/>
  <c r="B13" i="6"/>
  <c r="A13" i="6"/>
  <c r="F11" i="6"/>
  <c r="E11" i="6"/>
  <c r="D11" i="6"/>
  <c r="C11" i="6"/>
  <c r="B11" i="6"/>
  <c r="A11" i="6"/>
  <c r="F7" i="6"/>
  <c r="E7" i="6"/>
  <c r="D7" i="6"/>
  <c r="C7" i="6"/>
  <c r="B7" i="6"/>
  <c r="A7" i="6"/>
  <c r="F8" i="6"/>
  <c r="E8" i="6"/>
  <c r="D8" i="6"/>
  <c r="C8" i="6"/>
  <c r="B8" i="6"/>
  <c r="A8" i="6"/>
  <c r="F9" i="6"/>
  <c r="E9" i="6"/>
  <c r="D9" i="6"/>
  <c r="C9" i="6"/>
  <c r="B9" i="6"/>
  <c r="A9" i="6"/>
  <c r="F10" i="6"/>
  <c r="E10" i="6"/>
  <c r="G10" i="6" s="1"/>
  <c r="H10" i="6" s="1"/>
  <c r="D10" i="6"/>
  <c r="C10" i="6"/>
  <c r="B10" i="6"/>
  <c r="A10" i="6"/>
  <c r="F6" i="6"/>
  <c r="E6" i="6"/>
  <c r="D6" i="6"/>
  <c r="C6" i="6"/>
  <c r="B6" i="6"/>
  <c r="A6" i="6"/>
  <c r="F5" i="6"/>
  <c r="E5" i="6"/>
  <c r="D5" i="6"/>
  <c r="C5" i="6"/>
  <c r="B5" i="6"/>
  <c r="A5" i="6"/>
  <c r="F4" i="6"/>
  <c r="E4" i="6"/>
  <c r="D4" i="6"/>
  <c r="C4" i="6"/>
  <c r="B4" i="6"/>
  <c r="A4" i="6"/>
  <c r="F3" i="6"/>
  <c r="E3" i="6"/>
  <c r="D3" i="6"/>
  <c r="C3" i="6"/>
  <c r="B3" i="6"/>
  <c r="A3" i="6"/>
  <c r="B34" i="4"/>
  <c r="B33" i="4"/>
  <c r="B32" i="4"/>
  <c r="B31" i="4"/>
  <c r="D6" i="7" s="1"/>
  <c r="B30" i="4"/>
  <c r="B35" i="4" s="1"/>
  <c r="B36" i="4" s="1"/>
  <c r="B29" i="4"/>
  <c r="B22" i="4"/>
  <c r="B21" i="4"/>
  <c r="B20" i="4"/>
  <c r="B19" i="4"/>
  <c r="D5" i="7" s="1"/>
  <c r="B18" i="4"/>
  <c r="B17" i="4"/>
  <c r="B10" i="4"/>
  <c r="B9" i="4"/>
  <c r="B8" i="4"/>
  <c r="B7" i="4"/>
  <c r="D4" i="7" s="1"/>
  <c r="B6" i="4"/>
  <c r="B5" i="4"/>
  <c r="F309" i="3"/>
  <c r="E309" i="3"/>
  <c r="D309" i="3"/>
  <c r="C309" i="3"/>
  <c r="B309" i="3"/>
  <c r="A309" i="3"/>
  <c r="F308" i="3"/>
  <c r="E308" i="3"/>
  <c r="D308" i="3"/>
  <c r="C308" i="3"/>
  <c r="B308" i="3"/>
  <c r="A308" i="3"/>
  <c r="F307" i="3"/>
  <c r="E307" i="3"/>
  <c r="D307" i="3"/>
  <c r="C307" i="3"/>
  <c r="B307" i="3"/>
  <c r="A307" i="3"/>
  <c r="F306" i="3"/>
  <c r="E306" i="3"/>
  <c r="D306" i="3"/>
  <c r="C306" i="3"/>
  <c r="B306" i="3"/>
  <c r="A306" i="3"/>
  <c r="F305" i="3"/>
  <c r="E305" i="3"/>
  <c r="D305" i="3"/>
  <c r="C305" i="3"/>
  <c r="B305" i="3"/>
  <c r="A305" i="3"/>
  <c r="F304" i="3"/>
  <c r="E304" i="3"/>
  <c r="D304" i="3"/>
  <c r="C304" i="3"/>
  <c r="B304" i="3"/>
  <c r="A304" i="3"/>
  <c r="F303" i="3"/>
  <c r="E303" i="3"/>
  <c r="D303" i="3"/>
  <c r="C303" i="3"/>
  <c r="B303" i="3"/>
  <c r="A303" i="3"/>
  <c r="F302" i="3"/>
  <c r="E302" i="3"/>
  <c r="D302" i="3"/>
  <c r="C302" i="3"/>
  <c r="B302" i="3"/>
  <c r="A302" i="3"/>
  <c r="F301" i="3"/>
  <c r="E301" i="3"/>
  <c r="D301" i="3"/>
  <c r="C301" i="3"/>
  <c r="B301" i="3"/>
  <c r="A301" i="3"/>
  <c r="F300" i="3"/>
  <c r="E300" i="3"/>
  <c r="D300" i="3"/>
  <c r="C300" i="3"/>
  <c r="B300" i="3"/>
  <c r="A300" i="3"/>
  <c r="F299" i="3"/>
  <c r="E299" i="3"/>
  <c r="D299" i="3"/>
  <c r="C299" i="3"/>
  <c r="B299" i="3"/>
  <c r="A299" i="3"/>
  <c r="F298" i="3"/>
  <c r="E298" i="3"/>
  <c r="D298" i="3"/>
  <c r="C298" i="3"/>
  <c r="B298" i="3"/>
  <c r="A298" i="3"/>
  <c r="F297" i="3"/>
  <c r="E297" i="3"/>
  <c r="D297" i="3"/>
  <c r="C297" i="3"/>
  <c r="B297" i="3"/>
  <c r="A297" i="3"/>
  <c r="F296" i="3"/>
  <c r="E296" i="3"/>
  <c r="D296" i="3"/>
  <c r="C296" i="3"/>
  <c r="B296" i="3"/>
  <c r="A296" i="3"/>
  <c r="F295" i="3"/>
  <c r="E295" i="3"/>
  <c r="D295" i="3"/>
  <c r="C295" i="3"/>
  <c r="B295" i="3"/>
  <c r="A295" i="3"/>
  <c r="F294" i="3"/>
  <c r="E294" i="3"/>
  <c r="D294" i="3"/>
  <c r="C294" i="3"/>
  <c r="B294" i="3"/>
  <c r="A294" i="3"/>
  <c r="F293" i="3"/>
  <c r="E293" i="3"/>
  <c r="D293" i="3"/>
  <c r="C293" i="3"/>
  <c r="B293" i="3"/>
  <c r="A293" i="3"/>
  <c r="F292" i="3"/>
  <c r="E292" i="3"/>
  <c r="D292" i="3"/>
  <c r="C292" i="3"/>
  <c r="B292" i="3"/>
  <c r="A292" i="3"/>
  <c r="F291" i="3"/>
  <c r="E291" i="3"/>
  <c r="D291" i="3"/>
  <c r="C291" i="3"/>
  <c r="B291" i="3"/>
  <c r="A291" i="3"/>
  <c r="F290" i="3"/>
  <c r="E290" i="3"/>
  <c r="D290" i="3"/>
  <c r="C290" i="3"/>
  <c r="B290" i="3"/>
  <c r="A290" i="3"/>
  <c r="F289" i="3"/>
  <c r="E289" i="3"/>
  <c r="D289" i="3"/>
  <c r="C289" i="3"/>
  <c r="B289" i="3"/>
  <c r="A289" i="3"/>
  <c r="F288" i="3"/>
  <c r="E288" i="3"/>
  <c r="D288" i="3"/>
  <c r="C288" i="3"/>
  <c r="B288" i="3"/>
  <c r="A288" i="3"/>
  <c r="F287" i="3"/>
  <c r="E287" i="3"/>
  <c r="D287" i="3"/>
  <c r="C287" i="3"/>
  <c r="B287" i="3"/>
  <c r="A287" i="3"/>
  <c r="F286" i="3"/>
  <c r="E286" i="3"/>
  <c r="D286" i="3"/>
  <c r="C286" i="3"/>
  <c r="B286" i="3"/>
  <c r="A286" i="3"/>
  <c r="F285" i="3"/>
  <c r="E285" i="3"/>
  <c r="D285" i="3"/>
  <c r="C285" i="3"/>
  <c r="B285" i="3"/>
  <c r="A285" i="3"/>
  <c r="F284" i="3"/>
  <c r="E284" i="3"/>
  <c r="D284" i="3"/>
  <c r="C284" i="3"/>
  <c r="B284" i="3"/>
  <c r="A284" i="3"/>
  <c r="F283" i="3"/>
  <c r="E283" i="3"/>
  <c r="D283" i="3"/>
  <c r="C283" i="3"/>
  <c r="B283" i="3"/>
  <c r="A283" i="3"/>
  <c r="F282" i="3"/>
  <c r="E282" i="3"/>
  <c r="D282" i="3"/>
  <c r="C282" i="3"/>
  <c r="B282" i="3"/>
  <c r="A282" i="3"/>
  <c r="F281" i="3"/>
  <c r="E281" i="3"/>
  <c r="D281" i="3"/>
  <c r="C281" i="3"/>
  <c r="B281" i="3"/>
  <c r="A281" i="3"/>
  <c r="F280" i="3"/>
  <c r="E280" i="3"/>
  <c r="D280" i="3"/>
  <c r="C280" i="3"/>
  <c r="B280" i="3"/>
  <c r="A280" i="3"/>
  <c r="F279" i="3"/>
  <c r="E279" i="3"/>
  <c r="D279" i="3"/>
  <c r="C279" i="3"/>
  <c r="B279" i="3"/>
  <c r="A279" i="3"/>
  <c r="F278" i="3"/>
  <c r="E278" i="3"/>
  <c r="D278" i="3"/>
  <c r="C278" i="3"/>
  <c r="B278" i="3"/>
  <c r="A278" i="3"/>
  <c r="F277" i="3"/>
  <c r="E277" i="3"/>
  <c r="D277" i="3"/>
  <c r="C277" i="3"/>
  <c r="B277" i="3"/>
  <c r="A277" i="3"/>
  <c r="F276" i="3"/>
  <c r="E276" i="3"/>
  <c r="D276" i="3"/>
  <c r="C276" i="3"/>
  <c r="B276" i="3"/>
  <c r="A276" i="3"/>
  <c r="F275" i="3"/>
  <c r="E275" i="3"/>
  <c r="D275" i="3"/>
  <c r="C275" i="3"/>
  <c r="B275" i="3"/>
  <c r="A275" i="3"/>
  <c r="F274" i="3"/>
  <c r="E274" i="3"/>
  <c r="D274" i="3"/>
  <c r="C274" i="3"/>
  <c r="B274" i="3"/>
  <c r="A274" i="3"/>
  <c r="F273" i="3"/>
  <c r="E273" i="3"/>
  <c r="D273" i="3"/>
  <c r="C273" i="3"/>
  <c r="B273" i="3"/>
  <c r="A273" i="3"/>
  <c r="F272" i="3"/>
  <c r="E272" i="3"/>
  <c r="D272" i="3"/>
  <c r="C272" i="3"/>
  <c r="B272" i="3"/>
  <c r="A272" i="3"/>
  <c r="F271" i="3"/>
  <c r="E271" i="3"/>
  <c r="D271" i="3"/>
  <c r="C271" i="3"/>
  <c r="B271" i="3"/>
  <c r="A271" i="3"/>
  <c r="F270" i="3"/>
  <c r="E270" i="3"/>
  <c r="D270" i="3"/>
  <c r="C270" i="3"/>
  <c r="B270" i="3"/>
  <c r="A270" i="3"/>
  <c r="F269" i="3"/>
  <c r="E269" i="3"/>
  <c r="D269" i="3"/>
  <c r="C269" i="3"/>
  <c r="B269" i="3"/>
  <c r="A269" i="3"/>
  <c r="F268" i="3"/>
  <c r="E268" i="3"/>
  <c r="D268" i="3"/>
  <c r="C268" i="3"/>
  <c r="B268" i="3"/>
  <c r="A268" i="3"/>
  <c r="F267" i="3"/>
  <c r="E267" i="3"/>
  <c r="D267" i="3"/>
  <c r="C267" i="3"/>
  <c r="B267" i="3"/>
  <c r="A267" i="3"/>
  <c r="F266" i="3"/>
  <c r="E266" i="3"/>
  <c r="D266" i="3"/>
  <c r="C266" i="3"/>
  <c r="B266" i="3"/>
  <c r="A266" i="3"/>
  <c r="F265" i="3"/>
  <c r="E265" i="3"/>
  <c r="D265" i="3"/>
  <c r="C265" i="3"/>
  <c r="B265" i="3"/>
  <c r="A265" i="3"/>
  <c r="F264" i="3"/>
  <c r="E264" i="3"/>
  <c r="D264" i="3"/>
  <c r="C264" i="3"/>
  <c r="B264" i="3"/>
  <c r="A264" i="3"/>
  <c r="F263" i="3"/>
  <c r="E263" i="3"/>
  <c r="D263" i="3"/>
  <c r="C263" i="3"/>
  <c r="B263" i="3"/>
  <c r="A263" i="3"/>
  <c r="F262" i="3"/>
  <c r="E262" i="3"/>
  <c r="D262" i="3"/>
  <c r="C262" i="3"/>
  <c r="B262" i="3"/>
  <c r="A262" i="3"/>
  <c r="F261" i="3"/>
  <c r="E261" i="3"/>
  <c r="D261" i="3"/>
  <c r="C261" i="3"/>
  <c r="B261" i="3"/>
  <c r="A261" i="3"/>
  <c r="F260" i="3"/>
  <c r="E260" i="3"/>
  <c r="D260" i="3"/>
  <c r="C260" i="3"/>
  <c r="B260" i="3"/>
  <c r="A260" i="3"/>
  <c r="F259" i="3"/>
  <c r="E259" i="3"/>
  <c r="D259" i="3"/>
  <c r="C259" i="3"/>
  <c r="B259" i="3"/>
  <c r="A259" i="3"/>
  <c r="F258" i="3"/>
  <c r="E258" i="3"/>
  <c r="D258" i="3"/>
  <c r="C258" i="3"/>
  <c r="B258" i="3"/>
  <c r="A258" i="3"/>
  <c r="F257" i="3"/>
  <c r="E257" i="3"/>
  <c r="D257" i="3"/>
  <c r="C257" i="3"/>
  <c r="B257" i="3"/>
  <c r="A257" i="3"/>
  <c r="F256" i="3"/>
  <c r="E256" i="3"/>
  <c r="D256" i="3"/>
  <c r="C256" i="3"/>
  <c r="B256" i="3"/>
  <c r="A256" i="3"/>
  <c r="F255" i="3"/>
  <c r="E255" i="3"/>
  <c r="D255" i="3"/>
  <c r="C255" i="3"/>
  <c r="B255" i="3"/>
  <c r="A255" i="3"/>
  <c r="F254" i="3"/>
  <c r="E254" i="3"/>
  <c r="D254" i="3"/>
  <c r="C254" i="3"/>
  <c r="B254" i="3"/>
  <c r="A254" i="3"/>
  <c r="F253" i="3"/>
  <c r="E253" i="3"/>
  <c r="D253" i="3"/>
  <c r="C253" i="3"/>
  <c r="B253" i="3"/>
  <c r="A253" i="3"/>
  <c r="F252" i="3"/>
  <c r="E252" i="3"/>
  <c r="D252" i="3"/>
  <c r="C252" i="3"/>
  <c r="B252" i="3"/>
  <c r="A252" i="3"/>
  <c r="F251" i="3"/>
  <c r="E251" i="3"/>
  <c r="D251" i="3"/>
  <c r="C251" i="3"/>
  <c r="B251" i="3"/>
  <c r="A251" i="3"/>
  <c r="F250" i="3"/>
  <c r="E250" i="3"/>
  <c r="D250" i="3"/>
  <c r="C250" i="3"/>
  <c r="B250" i="3"/>
  <c r="A250" i="3"/>
  <c r="F249" i="3"/>
  <c r="E249" i="3"/>
  <c r="D249" i="3"/>
  <c r="C249" i="3"/>
  <c r="B249" i="3"/>
  <c r="A249" i="3"/>
  <c r="F248" i="3"/>
  <c r="E248" i="3"/>
  <c r="D248" i="3"/>
  <c r="C248" i="3"/>
  <c r="B248" i="3"/>
  <c r="A248" i="3"/>
  <c r="F247" i="3"/>
  <c r="E247" i="3"/>
  <c r="D247" i="3"/>
  <c r="C247" i="3"/>
  <c r="B247" i="3"/>
  <c r="A247" i="3"/>
  <c r="F246" i="3"/>
  <c r="E246" i="3"/>
  <c r="D246" i="3"/>
  <c r="C246" i="3"/>
  <c r="B246" i="3"/>
  <c r="A246" i="3"/>
  <c r="F245" i="3"/>
  <c r="E245" i="3"/>
  <c r="D245" i="3"/>
  <c r="C245" i="3"/>
  <c r="B245" i="3"/>
  <c r="A245" i="3"/>
  <c r="F244" i="3"/>
  <c r="E244" i="3"/>
  <c r="D244" i="3"/>
  <c r="C244" i="3"/>
  <c r="B244" i="3"/>
  <c r="A244" i="3"/>
  <c r="F243" i="3"/>
  <c r="E243" i="3"/>
  <c r="D243" i="3"/>
  <c r="C243" i="3"/>
  <c r="B243" i="3"/>
  <c r="A243" i="3"/>
  <c r="F242" i="3"/>
  <c r="E242" i="3"/>
  <c r="D242" i="3"/>
  <c r="C242" i="3"/>
  <c r="B242" i="3"/>
  <c r="A242" i="3"/>
  <c r="F241" i="3"/>
  <c r="E241" i="3"/>
  <c r="D241" i="3"/>
  <c r="C241" i="3"/>
  <c r="B241" i="3"/>
  <c r="A241" i="3"/>
  <c r="F240" i="3"/>
  <c r="E240" i="3"/>
  <c r="D240" i="3"/>
  <c r="C240" i="3"/>
  <c r="B240" i="3"/>
  <c r="A240" i="3"/>
  <c r="F239" i="3"/>
  <c r="E239" i="3"/>
  <c r="D239" i="3"/>
  <c r="C239" i="3"/>
  <c r="B239" i="3"/>
  <c r="A239" i="3"/>
  <c r="F238" i="3"/>
  <c r="E238" i="3"/>
  <c r="D238" i="3"/>
  <c r="C238" i="3"/>
  <c r="B238" i="3"/>
  <c r="A238" i="3"/>
  <c r="F237" i="3"/>
  <c r="E237" i="3"/>
  <c r="D237" i="3"/>
  <c r="C237" i="3"/>
  <c r="B237" i="3"/>
  <c r="A237" i="3"/>
  <c r="F236" i="3"/>
  <c r="E236" i="3"/>
  <c r="D236" i="3"/>
  <c r="C236" i="3"/>
  <c r="B236" i="3"/>
  <c r="A236" i="3"/>
  <c r="F235" i="3"/>
  <c r="E235" i="3"/>
  <c r="D235" i="3"/>
  <c r="C235" i="3"/>
  <c r="B235" i="3"/>
  <c r="A235" i="3"/>
  <c r="F234" i="3"/>
  <c r="E234" i="3"/>
  <c r="D234" i="3"/>
  <c r="C234" i="3"/>
  <c r="B234" i="3"/>
  <c r="A234" i="3"/>
  <c r="F233" i="3"/>
  <c r="E233" i="3"/>
  <c r="D233" i="3"/>
  <c r="C233" i="3"/>
  <c r="B233" i="3"/>
  <c r="A233" i="3"/>
  <c r="F232" i="3"/>
  <c r="E232" i="3"/>
  <c r="D232" i="3"/>
  <c r="C232" i="3"/>
  <c r="B232" i="3"/>
  <c r="A232" i="3"/>
  <c r="F231" i="3"/>
  <c r="E231" i="3"/>
  <c r="D231" i="3"/>
  <c r="C231" i="3"/>
  <c r="B231" i="3"/>
  <c r="A231" i="3"/>
  <c r="F230" i="3"/>
  <c r="E230" i="3"/>
  <c r="D230" i="3"/>
  <c r="C230" i="3"/>
  <c r="B230" i="3"/>
  <c r="A230" i="3"/>
  <c r="F229" i="3"/>
  <c r="E229" i="3"/>
  <c r="D229" i="3"/>
  <c r="C229" i="3"/>
  <c r="B229" i="3"/>
  <c r="A229" i="3"/>
  <c r="F228" i="3"/>
  <c r="E228" i="3"/>
  <c r="D228" i="3"/>
  <c r="C228" i="3"/>
  <c r="B228" i="3"/>
  <c r="A228" i="3"/>
  <c r="F227" i="3"/>
  <c r="E227" i="3"/>
  <c r="D227" i="3"/>
  <c r="C227" i="3"/>
  <c r="B227" i="3"/>
  <c r="A227" i="3"/>
  <c r="F226" i="3"/>
  <c r="E226" i="3"/>
  <c r="D226" i="3"/>
  <c r="C226" i="3"/>
  <c r="B226" i="3"/>
  <c r="A226" i="3"/>
  <c r="F225" i="3"/>
  <c r="E225" i="3"/>
  <c r="D225" i="3"/>
  <c r="C225" i="3"/>
  <c r="B225" i="3"/>
  <c r="A225" i="3"/>
  <c r="F224" i="3"/>
  <c r="E224" i="3"/>
  <c r="D224" i="3"/>
  <c r="C224" i="3"/>
  <c r="B224" i="3"/>
  <c r="A224" i="3"/>
  <c r="F223" i="3"/>
  <c r="E223" i="3"/>
  <c r="D223" i="3"/>
  <c r="C223" i="3"/>
  <c r="B223" i="3"/>
  <c r="A223" i="3"/>
  <c r="F222" i="3"/>
  <c r="E222" i="3"/>
  <c r="D222" i="3"/>
  <c r="C222" i="3"/>
  <c r="B222" i="3"/>
  <c r="A222" i="3"/>
  <c r="F221" i="3"/>
  <c r="E221" i="3"/>
  <c r="D221" i="3"/>
  <c r="C221" i="3"/>
  <c r="B221" i="3"/>
  <c r="A221" i="3"/>
  <c r="F220" i="3"/>
  <c r="E220" i="3"/>
  <c r="D220" i="3"/>
  <c r="C220" i="3"/>
  <c r="B220" i="3"/>
  <c r="A220" i="3"/>
  <c r="F219" i="3"/>
  <c r="E219" i="3"/>
  <c r="D219" i="3"/>
  <c r="C219" i="3"/>
  <c r="B219" i="3"/>
  <c r="A219" i="3"/>
  <c r="F218" i="3"/>
  <c r="E218" i="3"/>
  <c r="D218" i="3"/>
  <c r="C218" i="3"/>
  <c r="B218" i="3"/>
  <c r="A218" i="3"/>
  <c r="F217" i="3"/>
  <c r="E217" i="3"/>
  <c r="D217" i="3"/>
  <c r="C217" i="3"/>
  <c r="B217" i="3"/>
  <c r="A217" i="3"/>
  <c r="F216" i="3"/>
  <c r="E216" i="3"/>
  <c r="D216" i="3"/>
  <c r="C216" i="3"/>
  <c r="B216" i="3"/>
  <c r="A216" i="3"/>
  <c r="F215" i="3"/>
  <c r="E215" i="3"/>
  <c r="D215" i="3"/>
  <c r="C215" i="3"/>
  <c r="B215" i="3"/>
  <c r="A215" i="3"/>
  <c r="F214" i="3"/>
  <c r="E214" i="3"/>
  <c r="D214" i="3"/>
  <c r="C214" i="3"/>
  <c r="B214" i="3"/>
  <c r="A214" i="3"/>
  <c r="F213" i="3"/>
  <c r="E213" i="3"/>
  <c r="D213" i="3"/>
  <c r="C213" i="3"/>
  <c r="B213" i="3"/>
  <c r="A213" i="3"/>
  <c r="F212" i="3"/>
  <c r="E212" i="3"/>
  <c r="D212" i="3"/>
  <c r="C212" i="3"/>
  <c r="B212" i="3"/>
  <c r="A212" i="3"/>
  <c r="F211" i="3"/>
  <c r="E211" i="3"/>
  <c r="D211" i="3"/>
  <c r="C211" i="3"/>
  <c r="B211" i="3"/>
  <c r="A211" i="3"/>
  <c r="F210" i="3"/>
  <c r="E210" i="3"/>
  <c r="D210" i="3"/>
  <c r="C210" i="3"/>
  <c r="B210" i="3"/>
  <c r="A210" i="3"/>
  <c r="F209" i="3"/>
  <c r="E209" i="3"/>
  <c r="D209" i="3"/>
  <c r="C209" i="3"/>
  <c r="B209" i="3"/>
  <c r="A209" i="3"/>
  <c r="F208" i="3"/>
  <c r="E208" i="3"/>
  <c r="D208" i="3"/>
  <c r="C208" i="3"/>
  <c r="B208" i="3"/>
  <c r="A208" i="3"/>
  <c r="F207" i="3"/>
  <c r="E207" i="3"/>
  <c r="D207" i="3"/>
  <c r="C207" i="3"/>
  <c r="B207" i="3"/>
  <c r="A207" i="3"/>
  <c r="F206" i="3"/>
  <c r="E206" i="3"/>
  <c r="D206" i="3"/>
  <c r="C206" i="3"/>
  <c r="B206" i="3"/>
  <c r="A206" i="3"/>
  <c r="F205" i="3"/>
  <c r="E205" i="3"/>
  <c r="D205" i="3"/>
  <c r="C205" i="3"/>
  <c r="B205" i="3"/>
  <c r="A205" i="3"/>
  <c r="F204" i="3"/>
  <c r="E204" i="3"/>
  <c r="D204" i="3"/>
  <c r="C204" i="3"/>
  <c r="B204" i="3"/>
  <c r="A204" i="3"/>
  <c r="F203" i="3"/>
  <c r="E203" i="3"/>
  <c r="D203" i="3"/>
  <c r="C203" i="3"/>
  <c r="B203" i="3"/>
  <c r="A203" i="3"/>
  <c r="F202" i="3"/>
  <c r="E202" i="3"/>
  <c r="D202" i="3"/>
  <c r="C202" i="3"/>
  <c r="B202" i="3"/>
  <c r="A202" i="3"/>
  <c r="F201" i="3"/>
  <c r="E201" i="3"/>
  <c r="D201" i="3"/>
  <c r="C201" i="3"/>
  <c r="B201" i="3"/>
  <c r="A201" i="3"/>
  <c r="F200" i="3"/>
  <c r="E200" i="3"/>
  <c r="D200" i="3"/>
  <c r="C200" i="3"/>
  <c r="B200" i="3"/>
  <c r="A200" i="3"/>
  <c r="F199" i="3"/>
  <c r="E199" i="3"/>
  <c r="D199" i="3"/>
  <c r="C199" i="3"/>
  <c r="B199" i="3"/>
  <c r="A199" i="3"/>
  <c r="F198" i="3"/>
  <c r="E198" i="3"/>
  <c r="D198" i="3"/>
  <c r="C198" i="3"/>
  <c r="B198" i="3"/>
  <c r="A198" i="3"/>
  <c r="F197" i="3"/>
  <c r="E197" i="3"/>
  <c r="D197" i="3"/>
  <c r="C197" i="3"/>
  <c r="B197" i="3"/>
  <c r="A197" i="3"/>
  <c r="F196" i="3"/>
  <c r="E196" i="3"/>
  <c r="D196" i="3"/>
  <c r="C196" i="3"/>
  <c r="B196" i="3"/>
  <c r="A196" i="3"/>
  <c r="F195" i="3"/>
  <c r="E195" i="3"/>
  <c r="D195" i="3"/>
  <c r="C195" i="3"/>
  <c r="B195" i="3"/>
  <c r="A195" i="3"/>
  <c r="F194" i="3"/>
  <c r="E194" i="3"/>
  <c r="D194" i="3"/>
  <c r="C194" i="3"/>
  <c r="B194" i="3"/>
  <c r="A194" i="3"/>
  <c r="F193" i="3"/>
  <c r="E193" i="3"/>
  <c r="D193" i="3"/>
  <c r="C193" i="3"/>
  <c r="B193" i="3"/>
  <c r="A193" i="3"/>
  <c r="F192" i="3"/>
  <c r="E192" i="3"/>
  <c r="D192" i="3"/>
  <c r="C192" i="3"/>
  <c r="B192" i="3"/>
  <c r="A192" i="3"/>
  <c r="F191" i="3"/>
  <c r="E191" i="3"/>
  <c r="D191" i="3"/>
  <c r="C191" i="3"/>
  <c r="B191" i="3"/>
  <c r="A191" i="3"/>
  <c r="F190" i="3"/>
  <c r="E190" i="3"/>
  <c r="D190" i="3"/>
  <c r="C190" i="3"/>
  <c r="B190" i="3"/>
  <c r="A190" i="3"/>
  <c r="F189" i="3"/>
  <c r="E189" i="3"/>
  <c r="D189" i="3"/>
  <c r="C189" i="3"/>
  <c r="B189" i="3"/>
  <c r="A189" i="3"/>
  <c r="F188" i="3"/>
  <c r="E188" i="3"/>
  <c r="D188" i="3"/>
  <c r="C188" i="3"/>
  <c r="B188" i="3"/>
  <c r="A188" i="3"/>
  <c r="F187" i="3"/>
  <c r="E187" i="3"/>
  <c r="D187" i="3"/>
  <c r="C187" i="3"/>
  <c r="B187" i="3"/>
  <c r="A187" i="3"/>
  <c r="F186" i="3"/>
  <c r="E186" i="3"/>
  <c r="D186" i="3"/>
  <c r="C186" i="3"/>
  <c r="B186" i="3"/>
  <c r="A186" i="3"/>
  <c r="F185" i="3"/>
  <c r="E185" i="3"/>
  <c r="D185" i="3"/>
  <c r="C185" i="3"/>
  <c r="B185" i="3"/>
  <c r="A185" i="3"/>
  <c r="F184" i="3"/>
  <c r="E184" i="3"/>
  <c r="D184" i="3"/>
  <c r="C184" i="3"/>
  <c r="B184" i="3"/>
  <c r="A184" i="3"/>
  <c r="F183" i="3"/>
  <c r="E183" i="3"/>
  <c r="D183" i="3"/>
  <c r="C183" i="3"/>
  <c r="B183" i="3"/>
  <c r="A183" i="3"/>
  <c r="F182" i="3"/>
  <c r="E182" i="3"/>
  <c r="D182" i="3"/>
  <c r="C182" i="3"/>
  <c r="B182" i="3"/>
  <c r="A182" i="3"/>
  <c r="F181" i="3"/>
  <c r="E181" i="3"/>
  <c r="D181" i="3"/>
  <c r="C181" i="3"/>
  <c r="B181" i="3"/>
  <c r="A181" i="3"/>
  <c r="F180" i="3"/>
  <c r="E180" i="3"/>
  <c r="D180" i="3"/>
  <c r="C180" i="3"/>
  <c r="B180" i="3"/>
  <c r="A180" i="3"/>
  <c r="F179" i="3"/>
  <c r="E179" i="3"/>
  <c r="D179" i="3"/>
  <c r="C179" i="3"/>
  <c r="B179" i="3"/>
  <c r="A179" i="3"/>
  <c r="F178" i="3"/>
  <c r="E178" i="3"/>
  <c r="D178" i="3"/>
  <c r="C178" i="3"/>
  <c r="B178" i="3"/>
  <c r="A178" i="3"/>
  <c r="F177" i="3"/>
  <c r="E177" i="3"/>
  <c r="D177" i="3"/>
  <c r="C177" i="3"/>
  <c r="B177" i="3"/>
  <c r="A177" i="3"/>
  <c r="F176" i="3"/>
  <c r="E176" i="3"/>
  <c r="D176" i="3"/>
  <c r="C176" i="3"/>
  <c r="B176" i="3"/>
  <c r="A176" i="3"/>
  <c r="F175" i="3"/>
  <c r="E175" i="3"/>
  <c r="D175" i="3"/>
  <c r="C175" i="3"/>
  <c r="B175" i="3"/>
  <c r="A175" i="3"/>
  <c r="F174" i="3"/>
  <c r="E174" i="3"/>
  <c r="D174" i="3"/>
  <c r="C174" i="3"/>
  <c r="B174" i="3"/>
  <c r="A174" i="3"/>
  <c r="F173" i="3"/>
  <c r="E173" i="3"/>
  <c r="D173" i="3"/>
  <c r="C173" i="3"/>
  <c r="B173" i="3"/>
  <c r="A173" i="3"/>
  <c r="F172" i="3"/>
  <c r="E172" i="3"/>
  <c r="D172" i="3"/>
  <c r="C172" i="3"/>
  <c r="B172" i="3"/>
  <c r="A172" i="3"/>
  <c r="F171" i="3"/>
  <c r="E171" i="3"/>
  <c r="D171" i="3"/>
  <c r="C171" i="3"/>
  <c r="B171" i="3"/>
  <c r="A171" i="3"/>
  <c r="F170" i="3"/>
  <c r="E170" i="3"/>
  <c r="D170" i="3"/>
  <c r="C170" i="3"/>
  <c r="B170" i="3"/>
  <c r="A170" i="3"/>
  <c r="F169" i="3"/>
  <c r="E169" i="3"/>
  <c r="D169" i="3"/>
  <c r="C169" i="3"/>
  <c r="B169" i="3"/>
  <c r="A169" i="3"/>
  <c r="F168" i="3"/>
  <c r="E168" i="3"/>
  <c r="D168" i="3"/>
  <c r="C168" i="3"/>
  <c r="B168" i="3"/>
  <c r="A168" i="3"/>
  <c r="F167" i="3"/>
  <c r="E167" i="3"/>
  <c r="D167" i="3"/>
  <c r="C167" i="3"/>
  <c r="B167" i="3"/>
  <c r="A167" i="3"/>
  <c r="F166" i="3"/>
  <c r="E166" i="3"/>
  <c r="D166" i="3"/>
  <c r="C166" i="3"/>
  <c r="B166" i="3"/>
  <c r="A166" i="3"/>
  <c r="F165" i="3"/>
  <c r="E165" i="3"/>
  <c r="D165" i="3"/>
  <c r="C165" i="3"/>
  <c r="B165" i="3"/>
  <c r="A165" i="3"/>
  <c r="F164" i="3"/>
  <c r="E164" i="3"/>
  <c r="D164" i="3"/>
  <c r="C164" i="3"/>
  <c r="B164" i="3"/>
  <c r="A164" i="3"/>
  <c r="F163" i="3"/>
  <c r="E163" i="3"/>
  <c r="D163" i="3"/>
  <c r="C163" i="3"/>
  <c r="B163" i="3"/>
  <c r="A163" i="3"/>
  <c r="F162" i="3"/>
  <c r="E162" i="3"/>
  <c r="D162" i="3"/>
  <c r="C162" i="3"/>
  <c r="B162" i="3"/>
  <c r="A162" i="3"/>
  <c r="F161" i="3"/>
  <c r="E161" i="3"/>
  <c r="D161" i="3"/>
  <c r="C161" i="3"/>
  <c r="B161" i="3"/>
  <c r="A161" i="3"/>
  <c r="F160" i="3"/>
  <c r="E160" i="3"/>
  <c r="D160" i="3"/>
  <c r="C160" i="3"/>
  <c r="B160" i="3"/>
  <c r="A160" i="3"/>
  <c r="F159" i="3"/>
  <c r="E159" i="3"/>
  <c r="D159" i="3"/>
  <c r="C159" i="3"/>
  <c r="B159" i="3"/>
  <c r="A159" i="3"/>
  <c r="F158" i="3"/>
  <c r="E158" i="3"/>
  <c r="D158" i="3"/>
  <c r="C158" i="3"/>
  <c r="B158" i="3"/>
  <c r="A158" i="3"/>
  <c r="F157" i="3"/>
  <c r="E157" i="3"/>
  <c r="D157" i="3"/>
  <c r="C157" i="3"/>
  <c r="B157" i="3"/>
  <c r="A157" i="3"/>
  <c r="F156" i="3"/>
  <c r="E156" i="3"/>
  <c r="D156" i="3"/>
  <c r="C156" i="3"/>
  <c r="B156" i="3"/>
  <c r="A156" i="3"/>
  <c r="F155" i="3"/>
  <c r="E155" i="3"/>
  <c r="D155" i="3"/>
  <c r="C155" i="3"/>
  <c r="B155" i="3"/>
  <c r="A155" i="3"/>
  <c r="F154" i="3"/>
  <c r="E154" i="3"/>
  <c r="D154" i="3"/>
  <c r="C154" i="3"/>
  <c r="B154" i="3"/>
  <c r="A154" i="3"/>
  <c r="F153" i="3"/>
  <c r="E153" i="3"/>
  <c r="D153" i="3"/>
  <c r="C153" i="3"/>
  <c r="B153" i="3"/>
  <c r="A153" i="3"/>
  <c r="F152" i="3"/>
  <c r="E152" i="3"/>
  <c r="D152" i="3"/>
  <c r="C152" i="3"/>
  <c r="B152" i="3"/>
  <c r="A152" i="3"/>
  <c r="F151" i="3"/>
  <c r="E151" i="3"/>
  <c r="D151" i="3"/>
  <c r="C151" i="3"/>
  <c r="B151" i="3"/>
  <c r="A151" i="3"/>
  <c r="F150" i="3"/>
  <c r="E150" i="3"/>
  <c r="D150" i="3"/>
  <c r="C150" i="3"/>
  <c r="B150" i="3"/>
  <c r="A150" i="3"/>
  <c r="F149" i="3"/>
  <c r="E149" i="3"/>
  <c r="D149" i="3"/>
  <c r="C149" i="3"/>
  <c r="B149" i="3"/>
  <c r="A149" i="3"/>
  <c r="F148" i="3"/>
  <c r="E148" i="3"/>
  <c r="D148" i="3"/>
  <c r="C148" i="3"/>
  <c r="B148" i="3"/>
  <c r="A148" i="3"/>
  <c r="F147" i="3"/>
  <c r="E147" i="3"/>
  <c r="D147" i="3"/>
  <c r="C147" i="3"/>
  <c r="B147" i="3"/>
  <c r="A147" i="3"/>
  <c r="F146" i="3"/>
  <c r="E146" i="3"/>
  <c r="D146" i="3"/>
  <c r="C146" i="3"/>
  <c r="B146" i="3"/>
  <c r="A146" i="3"/>
  <c r="F145" i="3"/>
  <c r="E145" i="3"/>
  <c r="D145" i="3"/>
  <c r="C145" i="3"/>
  <c r="B145" i="3"/>
  <c r="A145" i="3"/>
  <c r="F144" i="3"/>
  <c r="E144" i="3"/>
  <c r="D144" i="3"/>
  <c r="C144" i="3"/>
  <c r="B144" i="3"/>
  <c r="A144" i="3"/>
  <c r="F143" i="3"/>
  <c r="E143" i="3"/>
  <c r="D143" i="3"/>
  <c r="C143" i="3"/>
  <c r="B143" i="3"/>
  <c r="A143" i="3"/>
  <c r="F142" i="3"/>
  <c r="E142" i="3"/>
  <c r="D142" i="3"/>
  <c r="C142" i="3"/>
  <c r="B142" i="3"/>
  <c r="A142" i="3"/>
  <c r="F141" i="3"/>
  <c r="E141" i="3"/>
  <c r="D141" i="3"/>
  <c r="C141" i="3"/>
  <c r="B141" i="3"/>
  <c r="A141" i="3"/>
  <c r="F140" i="3"/>
  <c r="E140" i="3"/>
  <c r="D140" i="3"/>
  <c r="C140" i="3"/>
  <c r="B140" i="3"/>
  <c r="A140" i="3"/>
  <c r="F139" i="3"/>
  <c r="E139" i="3"/>
  <c r="D139" i="3"/>
  <c r="C139" i="3"/>
  <c r="B139" i="3"/>
  <c r="A139" i="3"/>
  <c r="F138" i="3"/>
  <c r="E138" i="3"/>
  <c r="D138" i="3"/>
  <c r="C138" i="3"/>
  <c r="B138" i="3"/>
  <c r="A138" i="3"/>
  <c r="F137" i="3"/>
  <c r="E137" i="3"/>
  <c r="D137" i="3"/>
  <c r="C137" i="3"/>
  <c r="B137" i="3"/>
  <c r="A137" i="3"/>
  <c r="F136" i="3"/>
  <c r="E136" i="3"/>
  <c r="D136" i="3"/>
  <c r="C136" i="3"/>
  <c r="B136" i="3"/>
  <c r="A136" i="3"/>
  <c r="F135" i="3"/>
  <c r="E135" i="3"/>
  <c r="D135" i="3"/>
  <c r="C135" i="3"/>
  <c r="B135" i="3"/>
  <c r="A135" i="3"/>
  <c r="F134" i="3"/>
  <c r="E134" i="3"/>
  <c r="D134" i="3"/>
  <c r="C134" i="3"/>
  <c r="B134" i="3"/>
  <c r="A134" i="3"/>
  <c r="F133" i="3"/>
  <c r="E133" i="3"/>
  <c r="D133" i="3"/>
  <c r="C133" i="3"/>
  <c r="B133" i="3"/>
  <c r="A133" i="3"/>
  <c r="F132" i="3"/>
  <c r="E132" i="3"/>
  <c r="D132" i="3"/>
  <c r="C132" i="3"/>
  <c r="B132" i="3"/>
  <c r="A132" i="3"/>
  <c r="F131" i="3"/>
  <c r="E131" i="3"/>
  <c r="D131" i="3"/>
  <c r="C131" i="3"/>
  <c r="B131" i="3"/>
  <c r="A131" i="3"/>
  <c r="F130" i="3"/>
  <c r="E130" i="3"/>
  <c r="D130" i="3"/>
  <c r="C130" i="3"/>
  <c r="B130" i="3"/>
  <c r="A130" i="3"/>
  <c r="F129" i="3"/>
  <c r="E129" i="3"/>
  <c r="D129" i="3"/>
  <c r="C129" i="3"/>
  <c r="B129" i="3"/>
  <c r="A129" i="3"/>
  <c r="F128" i="3"/>
  <c r="E128" i="3"/>
  <c r="D128" i="3"/>
  <c r="C128" i="3"/>
  <c r="B128" i="3"/>
  <c r="A128" i="3"/>
  <c r="F127" i="3"/>
  <c r="E127" i="3"/>
  <c r="D127" i="3"/>
  <c r="C127" i="3"/>
  <c r="B127" i="3"/>
  <c r="A127" i="3"/>
  <c r="F126" i="3"/>
  <c r="E126" i="3"/>
  <c r="D126" i="3"/>
  <c r="C126" i="3"/>
  <c r="B126" i="3"/>
  <c r="A126" i="3"/>
  <c r="F125" i="3"/>
  <c r="E125" i="3"/>
  <c r="D125" i="3"/>
  <c r="C125" i="3"/>
  <c r="B125" i="3"/>
  <c r="A125" i="3"/>
  <c r="F124" i="3"/>
  <c r="E124" i="3"/>
  <c r="D124" i="3"/>
  <c r="C124" i="3"/>
  <c r="B124" i="3"/>
  <c r="A124" i="3"/>
  <c r="F123" i="3"/>
  <c r="E123" i="3"/>
  <c r="D123" i="3"/>
  <c r="C123" i="3"/>
  <c r="B123" i="3"/>
  <c r="A123" i="3"/>
  <c r="F122" i="3"/>
  <c r="E122" i="3"/>
  <c r="D122" i="3"/>
  <c r="C122" i="3"/>
  <c r="B122" i="3"/>
  <c r="A122" i="3"/>
  <c r="F121" i="3"/>
  <c r="E121" i="3"/>
  <c r="D121" i="3"/>
  <c r="C121" i="3"/>
  <c r="B121" i="3"/>
  <c r="A121" i="3"/>
  <c r="F120" i="3"/>
  <c r="E120" i="3"/>
  <c r="D120" i="3"/>
  <c r="C120" i="3"/>
  <c r="B120" i="3"/>
  <c r="A120" i="3"/>
  <c r="F119" i="3"/>
  <c r="E119" i="3"/>
  <c r="D119" i="3"/>
  <c r="C119" i="3"/>
  <c r="B119" i="3"/>
  <c r="A119" i="3"/>
  <c r="F118" i="3"/>
  <c r="E118" i="3"/>
  <c r="D118" i="3"/>
  <c r="C118" i="3"/>
  <c r="B118" i="3"/>
  <c r="A118" i="3"/>
  <c r="F117" i="3"/>
  <c r="E117" i="3"/>
  <c r="D117" i="3"/>
  <c r="C117" i="3"/>
  <c r="B117" i="3"/>
  <c r="A117" i="3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F113" i="3"/>
  <c r="E113" i="3"/>
  <c r="D113" i="3"/>
  <c r="C113" i="3"/>
  <c r="B113" i="3"/>
  <c r="A113" i="3"/>
  <c r="F112" i="3"/>
  <c r="E112" i="3"/>
  <c r="D112" i="3"/>
  <c r="C112" i="3"/>
  <c r="B112" i="3"/>
  <c r="A112" i="3"/>
  <c r="F111" i="3"/>
  <c r="E111" i="3"/>
  <c r="D111" i="3"/>
  <c r="C111" i="3"/>
  <c r="B111" i="3"/>
  <c r="A111" i="3"/>
  <c r="F110" i="3"/>
  <c r="E110" i="3"/>
  <c r="D110" i="3"/>
  <c r="C110" i="3"/>
  <c r="B110" i="3"/>
  <c r="A110" i="3"/>
  <c r="F109" i="3"/>
  <c r="E109" i="3"/>
  <c r="D109" i="3"/>
  <c r="C109" i="3"/>
  <c r="B109" i="3"/>
  <c r="A109" i="3"/>
  <c r="F108" i="3"/>
  <c r="E108" i="3"/>
  <c r="D108" i="3"/>
  <c r="C108" i="3"/>
  <c r="B108" i="3"/>
  <c r="A108" i="3"/>
  <c r="F107" i="3"/>
  <c r="E107" i="3"/>
  <c r="D107" i="3"/>
  <c r="C107" i="3"/>
  <c r="B107" i="3"/>
  <c r="A107" i="3"/>
  <c r="F106" i="3"/>
  <c r="E106" i="3"/>
  <c r="D106" i="3"/>
  <c r="C106" i="3"/>
  <c r="B106" i="3"/>
  <c r="A106" i="3"/>
  <c r="F105" i="3"/>
  <c r="E105" i="3"/>
  <c r="D105" i="3"/>
  <c r="C105" i="3"/>
  <c r="B105" i="3"/>
  <c r="A105" i="3"/>
  <c r="F104" i="3"/>
  <c r="E104" i="3"/>
  <c r="D104" i="3"/>
  <c r="C104" i="3"/>
  <c r="B104" i="3"/>
  <c r="A104" i="3"/>
  <c r="F103" i="3"/>
  <c r="E103" i="3"/>
  <c r="D103" i="3"/>
  <c r="C103" i="3"/>
  <c r="B103" i="3"/>
  <c r="A103" i="3"/>
  <c r="F102" i="3"/>
  <c r="E102" i="3"/>
  <c r="D102" i="3"/>
  <c r="C102" i="3"/>
  <c r="B102" i="3"/>
  <c r="A102" i="3"/>
  <c r="F101" i="3"/>
  <c r="E101" i="3"/>
  <c r="D101" i="3"/>
  <c r="C101" i="3"/>
  <c r="B101" i="3"/>
  <c r="A101" i="3"/>
  <c r="F100" i="3"/>
  <c r="E100" i="3"/>
  <c r="D100" i="3"/>
  <c r="C100" i="3"/>
  <c r="B100" i="3"/>
  <c r="A100" i="3"/>
  <c r="F99" i="3"/>
  <c r="E99" i="3"/>
  <c r="D99" i="3"/>
  <c r="C99" i="3"/>
  <c r="B99" i="3"/>
  <c r="A99" i="3"/>
  <c r="F98" i="3"/>
  <c r="E98" i="3"/>
  <c r="D98" i="3"/>
  <c r="C98" i="3"/>
  <c r="B98" i="3"/>
  <c r="A98" i="3"/>
  <c r="F97" i="3"/>
  <c r="E97" i="3"/>
  <c r="D97" i="3"/>
  <c r="C97" i="3"/>
  <c r="B97" i="3"/>
  <c r="A97" i="3"/>
  <c r="F96" i="3"/>
  <c r="E96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F92" i="3"/>
  <c r="E92" i="3"/>
  <c r="D92" i="3"/>
  <c r="C92" i="3"/>
  <c r="B92" i="3"/>
  <c r="A92" i="3"/>
  <c r="F91" i="3"/>
  <c r="E91" i="3"/>
  <c r="D91" i="3"/>
  <c r="C91" i="3"/>
  <c r="B91" i="3"/>
  <c r="A91" i="3"/>
  <c r="F90" i="3"/>
  <c r="E90" i="3"/>
  <c r="D90" i="3"/>
  <c r="C90" i="3"/>
  <c r="B90" i="3"/>
  <c r="A90" i="3"/>
  <c r="F89" i="3"/>
  <c r="E89" i="3"/>
  <c r="D89" i="3"/>
  <c r="C89" i="3"/>
  <c r="B89" i="3"/>
  <c r="A89" i="3"/>
  <c r="F88" i="3"/>
  <c r="E88" i="3"/>
  <c r="D88" i="3"/>
  <c r="C88" i="3"/>
  <c r="B88" i="3"/>
  <c r="A88" i="3"/>
  <c r="F87" i="3"/>
  <c r="E87" i="3"/>
  <c r="D87" i="3"/>
  <c r="C87" i="3"/>
  <c r="B87" i="3"/>
  <c r="A87" i="3"/>
  <c r="F86" i="3"/>
  <c r="E86" i="3"/>
  <c r="D86" i="3"/>
  <c r="C86" i="3"/>
  <c r="B86" i="3"/>
  <c r="A86" i="3"/>
  <c r="F85" i="3"/>
  <c r="E85" i="3"/>
  <c r="D85" i="3"/>
  <c r="C85" i="3"/>
  <c r="B85" i="3"/>
  <c r="A85" i="3"/>
  <c r="F84" i="3"/>
  <c r="E84" i="3"/>
  <c r="D84" i="3"/>
  <c r="C84" i="3"/>
  <c r="B84" i="3"/>
  <c r="A84" i="3"/>
  <c r="F83" i="3"/>
  <c r="E83" i="3"/>
  <c r="D83" i="3"/>
  <c r="C83" i="3"/>
  <c r="B83" i="3"/>
  <c r="A83" i="3"/>
  <c r="F82" i="3"/>
  <c r="E82" i="3"/>
  <c r="D82" i="3"/>
  <c r="C82" i="3"/>
  <c r="B82" i="3"/>
  <c r="A82" i="3"/>
  <c r="F81" i="3"/>
  <c r="E81" i="3"/>
  <c r="D81" i="3"/>
  <c r="C81" i="3"/>
  <c r="B81" i="3"/>
  <c r="A81" i="3"/>
  <c r="F80" i="3"/>
  <c r="E80" i="3"/>
  <c r="D80" i="3"/>
  <c r="C80" i="3"/>
  <c r="B80" i="3"/>
  <c r="A80" i="3"/>
  <c r="F79" i="3"/>
  <c r="E79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F76" i="3"/>
  <c r="E76" i="3"/>
  <c r="D76" i="3"/>
  <c r="C76" i="3"/>
  <c r="B76" i="3"/>
  <c r="A76" i="3"/>
  <c r="F75" i="3"/>
  <c r="E75" i="3"/>
  <c r="D75" i="3"/>
  <c r="C75" i="3"/>
  <c r="B75" i="3"/>
  <c r="A75" i="3"/>
  <c r="F74" i="3"/>
  <c r="E74" i="3"/>
  <c r="D74" i="3"/>
  <c r="C74" i="3"/>
  <c r="B74" i="3"/>
  <c r="A74" i="3"/>
  <c r="F73" i="3"/>
  <c r="E73" i="3"/>
  <c r="D73" i="3"/>
  <c r="C73" i="3"/>
  <c r="B73" i="3"/>
  <c r="A73" i="3"/>
  <c r="F72" i="3"/>
  <c r="E72" i="3"/>
  <c r="D72" i="3"/>
  <c r="C72" i="3"/>
  <c r="B72" i="3"/>
  <c r="A72" i="3"/>
  <c r="F71" i="3"/>
  <c r="E71" i="3"/>
  <c r="D71" i="3"/>
  <c r="C71" i="3"/>
  <c r="B71" i="3"/>
  <c r="A71" i="3"/>
  <c r="F70" i="3"/>
  <c r="E70" i="3"/>
  <c r="D70" i="3"/>
  <c r="C70" i="3"/>
  <c r="B70" i="3"/>
  <c r="A70" i="3"/>
  <c r="F69" i="3"/>
  <c r="E69" i="3"/>
  <c r="D69" i="3"/>
  <c r="C69" i="3"/>
  <c r="B69" i="3"/>
  <c r="A69" i="3"/>
  <c r="F68" i="3"/>
  <c r="E68" i="3"/>
  <c r="D68" i="3"/>
  <c r="C68" i="3"/>
  <c r="B68" i="3"/>
  <c r="A68" i="3"/>
  <c r="F67" i="3"/>
  <c r="E67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F61" i="3"/>
  <c r="E61" i="3"/>
  <c r="D61" i="3"/>
  <c r="C61" i="3"/>
  <c r="B61" i="3"/>
  <c r="A61" i="3"/>
  <c r="F60" i="3"/>
  <c r="E60" i="3"/>
  <c r="D60" i="3"/>
  <c r="C60" i="3"/>
  <c r="B60" i="3"/>
  <c r="A60" i="3"/>
  <c r="F59" i="3"/>
  <c r="E59" i="3"/>
  <c r="D59" i="3"/>
  <c r="C59" i="3"/>
  <c r="B59" i="3"/>
  <c r="A59" i="3"/>
  <c r="F58" i="3"/>
  <c r="E58" i="3"/>
  <c r="D58" i="3"/>
  <c r="C58" i="3"/>
  <c r="B58" i="3"/>
  <c r="A58" i="3"/>
  <c r="F57" i="3"/>
  <c r="E57" i="3"/>
  <c r="D57" i="3"/>
  <c r="C57" i="3"/>
  <c r="B57" i="3"/>
  <c r="A57" i="3"/>
  <c r="F56" i="3"/>
  <c r="E56" i="3"/>
  <c r="D56" i="3"/>
  <c r="C56" i="3"/>
  <c r="B56" i="3"/>
  <c r="A56" i="3"/>
  <c r="F55" i="3"/>
  <c r="E55" i="3"/>
  <c r="D55" i="3"/>
  <c r="C55" i="3"/>
  <c r="B55" i="3"/>
  <c r="A55" i="3"/>
  <c r="F54" i="3"/>
  <c r="E54" i="3"/>
  <c r="D54" i="3"/>
  <c r="C54" i="3"/>
  <c r="B54" i="3"/>
  <c r="A54" i="3"/>
  <c r="F53" i="3"/>
  <c r="E53" i="3"/>
  <c r="D53" i="3"/>
  <c r="C53" i="3"/>
  <c r="B53" i="3"/>
  <c r="A53" i="3"/>
  <c r="F52" i="3"/>
  <c r="E52" i="3"/>
  <c r="D52" i="3"/>
  <c r="C52" i="3"/>
  <c r="B52" i="3"/>
  <c r="A52" i="3"/>
  <c r="F51" i="3"/>
  <c r="E51" i="3"/>
  <c r="D51" i="3"/>
  <c r="C51" i="3"/>
  <c r="B51" i="3"/>
  <c r="A51" i="3"/>
  <c r="F50" i="3"/>
  <c r="E50" i="3"/>
  <c r="D50" i="3"/>
  <c r="C50" i="3"/>
  <c r="B50" i="3"/>
  <c r="A50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A38" i="3"/>
  <c r="F37" i="3"/>
  <c r="E37" i="3"/>
  <c r="D37" i="3"/>
  <c r="C37" i="3"/>
  <c r="B37" i="3"/>
  <c r="A37" i="3"/>
  <c r="F36" i="3"/>
  <c r="E36" i="3"/>
  <c r="D36" i="3"/>
  <c r="C36" i="3"/>
  <c r="B36" i="3"/>
  <c r="A36" i="3"/>
  <c r="F35" i="3"/>
  <c r="E35" i="3"/>
  <c r="D35" i="3"/>
  <c r="C35" i="3"/>
  <c r="B35" i="3"/>
  <c r="A35" i="3"/>
  <c r="F34" i="3"/>
  <c r="E34" i="3"/>
  <c r="D34" i="3"/>
  <c r="C34" i="3"/>
  <c r="B34" i="3"/>
  <c r="A34" i="3"/>
  <c r="F33" i="3"/>
  <c r="E33" i="3"/>
  <c r="D33" i="3"/>
  <c r="C33" i="3"/>
  <c r="B33" i="3"/>
  <c r="A33" i="3"/>
  <c r="F32" i="3"/>
  <c r="E32" i="3"/>
  <c r="D32" i="3"/>
  <c r="C32" i="3"/>
  <c r="B32" i="3"/>
  <c r="A32" i="3"/>
  <c r="F31" i="3"/>
  <c r="E31" i="3"/>
  <c r="D31" i="3"/>
  <c r="C31" i="3"/>
  <c r="B31" i="3"/>
  <c r="A31" i="3"/>
  <c r="F30" i="3"/>
  <c r="E30" i="3"/>
  <c r="D30" i="3"/>
  <c r="C30" i="3"/>
  <c r="B30" i="3"/>
  <c r="A30" i="3"/>
  <c r="F29" i="3"/>
  <c r="E29" i="3"/>
  <c r="D29" i="3"/>
  <c r="C29" i="3"/>
  <c r="B29" i="3"/>
  <c r="A29" i="3"/>
  <c r="F28" i="3"/>
  <c r="E28" i="3"/>
  <c r="D28" i="3"/>
  <c r="C28" i="3"/>
  <c r="B28" i="3"/>
  <c r="A28" i="3"/>
  <c r="F27" i="3"/>
  <c r="E27" i="3"/>
  <c r="D27" i="3"/>
  <c r="C27" i="3"/>
  <c r="B27" i="3"/>
  <c r="A27" i="3"/>
  <c r="F26" i="3"/>
  <c r="E26" i="3"/>
  <c r="D26" i="3"/>
  <c r="C26" i="3"/>
  <c r="B26" i="3"/>
  <c r="A26" i="3"/>
  <c r="F25" i="3"/>
  <c r="E25" i="3"/>
  <c r="D25" i="3"/>
  <c r="C25" i="3"/>
  <c r="B25" i="3"/>
  <c r="A25" i="3"/>
  <c r="F24" i="3"/>
  <c r="E24" i="3"/>
  <c r="D24" i="3"/>
  <c r="C24" i="3"/>
  <c r="B24" i="3"/>
  <c r="A24" i="3"/>
  <c r="F23" i="3"/>
  <c r="E23" i="3"/>
  <c r="D23" i="3"/>
  <c r="C23" i="3"/>
  <c r="B23" i="3"/>
  <c r="A23" i="3"/>
  <c r="F22" i="3"/>
  <c r="E22" i="3"/>
  <c r="D22" i="3"/>
  <c r="C22" i="3"/>
  <c r="B22" i="3"/>
  <c r="A22" i="3"/>
  <c r="F21" i="3"/>
  <c r="E21" i="3"/>
  <c r="D21" i="3"/>
  <c r="C21" i="3"/>
  <c r="B21" i="3"/>
  <c r="A21" i="3"/>
  <c r="F20" i="3"/>
  <c r="E20" i="3"/>
  <c r="D20" i="3"/>
  <c r="C20" i="3"/>
  <c r="B20" i="3"/>
  <c r="A20" i="3"/>
  <c r="F19" i="3"/>
  <c r="E19" i="3"/>
  <c r="D19" i="3"/>
  <c r="C19" i="3"/>
  <c r="B19" i="3"/>
  <c r="A19" i="3"/>
  <c r="F18" i="3"/>
  <c r="E18" i="3"/>
  <c r="D18" i="3"/>
  <c r="C18" i="3"/>
  <c r="B18" i="3"/>
  <c r="A18" i="3"/>
  <c r="F17" i="3"/>
  <c r="E17" i="3"/>
  <c r="D17" i="3"/>
  <c r="C17" i="3"/>
  <c r="B17" i="3"/>
  <c r="A17" i="3"/>
  <c r="F16" i="3"/>
  <c r="E16" i="3"/>
  <c r="D16" i="3"/>
  <c r="C16" i="3"/>
  <c r="B16" i="3"/>
  <c r="A16" i="3"/>
  <c r="F15" i="3"/>
  <c r="E15" i="3"/>
  <c r="D15" i="3"/>
  <c r="C15" i="3"/>
  <c r="B15" i="3"/>
  <c r="A15" i="3"/>
  <c r="F14" i="3"/>
  <c r="E14" i="3"/>
  <c r="D14" i="3"/>
  <c r="C14" i="3"/>
  <c r="B14" i="3"/>
  <c r="A14" i="3"/>
  <c r="F13" i="3"/>
  <c r="E13" i="3"/>
  <c r="D13" i="3"/>
  <c r="C13" i="3"/>
  <c r="B13" i="3"/>
  <c r="A13" i="3"/>
  <c r="F12" i="3"/>
  <c r="E12" i="3"/>
  <c r="D12" i="3"/>
  <c r="C12" i="3"/>
  <c r="B12" i="3"/>
  <c r="A12" i="3"/>
  <c r="F11" i="3"/>
  <c r="E11" i="3"/>
  <c r="D11" i="3"/>
  <c r="C11" i="3"/>
  <c r="B11" i="3"/>
  <c r="A11" i="3"/>
  <c r="F10" i="3"/>
  <c r="E10" i="3"/>
  <c r="D10" i="3"/>
  <c r="C10" i="3"/>
  <c r="B10" i="3"/>
  <c r="A10" i="3"/>
  <c r="F9" i="3"/>
  <c r="E9" i="3"/>
  <c r="D9" i="3"/>
  <c r="C9" i="3"/>
  <c r="B9" i="3"/>
  <c r="A9" i="3"/>
  <c r="F8" i="3"/>
  <c r="E8" i="3"/>
  <c r="D8" i="3"/>
  <c r="C8" i="3"/>
  <c r="B8" i="3"/>
  <c r="A8" i="3"/>
  <c r="F7" i="3"/>
  <c r="E7" i="3"/>
  <c r="D7" i="3"/>
  <c r="C7" i="3"/>
  <c r="B7" i="3"/>
  <c r="A7" i="3"/>
  <c r="F6" i="3"/>
  <c r="E6" i="3"/>
  <c r="D6" i="3"/>
  <c r="C6" i="3"/>
  <c r="B6" i="3"/>
  <c r="A6" i="3"/>
  <c r="F5" i="3"/>
  <c r="E5" i="3"/>
  <c r="D5" i="3"/>
  <c r="C5" i="3"/>
  <c r="B5" i="3"/>
  <c r="A5" i="3"/>
  <c r="F4" i="3"/>
  <c r="E4" i="3"/>
  <c r="D4" i="3"/>
  <c r="C4" i="3"/>
  <c r="B4" i="3"/>
  <c r="A4" i="3"/>
  <c r="H309" i="5"/>
  <c r="G309" i="5"/>
  <c r="F309" i="5"/>
  <c r="E309" i="5"/>
  <c r="D309" i="5"/>
  <c r="C309" i="5"/>
  <c r="B309" i="5"/>
  <c r="A309" i="5"/>
  <c r="H308" i="5"/>
  <c r="G308" i="5"/>
  <c r="F308" i="5"/>
  <c r="E308" i="5"/>
  <c r="D308" i="5"/>
  <c r="C308" i="5"/>
  <c r="B308" i="5"/>
  <c r="A308" i="5"/>
  <c r="H307" i="5"/>
  <c r="G307" i="5"/>
  <c r="F307" i="5"/>
  <c r="E307" i="5"/>
  <c r="D307" i="5"/>
  <c r="C307" i="5"/>
  <c r="B307" i="5"/>
  <c r="A307" i="5"/>
  <c r="H306" i="5"/>
  <c r="G306" i="5"/>
  <c r="F306" i="5"/>
  <c r="E306" i="5"/>
  <c r="D306" i="5"/>
  <c r="C306" i="5"/>
  <c r="B306" i="5"/>
  <c r="A306" i="5"/>
  <c r="H305" i="5"/>
  <c r="G305" i="5"/>
  <c r="F305" i="5"/>
  <c r="E305" i="5"/>
  <c r="D305" i="5"/>
  <c r="C305" i="5"/>
  <c r="B305" i="5"/>
  <c r="A305" i="5"/>
  <c r="H304" i="5"/>
  <c r="G304" i="5"/>
  <c r="F304" i="5"/>
  <c r="E304" i="5"/>
  <c r="D304" i="5"/>
  <c r="C304" i="5"/>
  <c r="B304" i="5"/>
  <c r="A304" i="5"/>
  <c r="H303" i="5"/>
  <c r="G303" i="5"/>
  <c r="F303" i="5"/>
  <c r="E303" i="5"/>
  <c r="D303" i="5"/>
  <c r="C303" i="5"/>
  <c r="B303" i="5"/>
  <c r="A303" i="5"/>
  <c r="H302" i="5"/>
  <c r="G302" i="5"/>
  <c r="F302" i="5"/>
  <c r="E302" i="5"/>
  <c r="D302" i="5"/>
  <c r="C302" i="5"/>
  <c r="B302" i="5"/>
  <c r="A302" i="5"/>
  <c r="H301" i="5"/>
  <c r="G301" i="5"/>
  <c r="F301" i="5"/>
  <c r="E301" i="5"/>
  <c r="D301" i="5"/>
  <c r="C301" i="5"/>
  <c r="B301" i="5"/>
  <c r="A301" i="5"/>
  <c r="H300" i="5"/>
  <c r="G300" i="5"/>
  <c r="F300" i="5"/>
  <c r="E300" i="5"/>
  <c r="D300" i="5"/>
  <c r="C300" i="5"/>
  <c r="B300" i="5"/>
  <c r="A300" i="5"/>
  <c r="H299" i="5"/>
  <c r="G299" i="5"/>
  <c r="F299" i="5"/>
  <c r="E299" i="5"/>
  <c r="D299" i="5"/>
  <c r="C299" i="5"/>
  <c r="B299" i="5"/>
  <c r="A299" i="5"/>
  <c r="H298" i="5"/>
  <c r="G298" i="5"/>
  <c r="F298" i="5"/>
  <c r="E298" i="5"/>
  <c r="D298" i="5"/>
  <c r="C298" i="5"/>
  <c r="B298" i="5"/>
  <c r="A298" i="5"/>
  <c r="H297" i="5"/>
  <c r="G297" i="5"/>
  <c r="F297" i="5"/>
  <c r="E297" i="5"/>
  <c r="D297" i="5"/>
  <c r="C297" i="5"/>
  <c r="B297" i="5"/>
  <c r="A297" i="5"/>
  <c r="H296" i="5"/>
  <c r="G296" i="5"/>
  <c r="F296" i="5"/>
  <c r="E296" i="5"/>
  <c r="D296" i="5"/>
  <c r="C296" i="5"/>
  <c r="B296" i="5"/>
  <c r="A296" i="5"/>
  <c r="H295" i="5"/>
  <c r="G295" i="5"/>
  <c r="F295" i="5"/>
  <c r="E295" i="5"/>
  <c r="D295" i="5"/>
  <c r="C295" i="5"/>
  <c r="B295" i="5"/>
  <c r="A295" i="5"/>
  <c r="H294" i="5"/>
  <c r="G294" i="5"/>
  <c r="F294" i="5"/>
  <c r="E294" i="5"/>
  <c r="D294" i="5"/>
  <c r="C294" i="5"/>
  <c r="B294" i="5"/>
  <c r="A294" i="5"/>
  <c r="H293" i="5"/>
  <c r="G293" i="5"/>
  <c r="F293" i="5"/>
  <c r="E293" i="5"/>
  <c r="D293" i="5"/>
  <c r="C293" i="5"/>
  <c r="B293" i="5"/>
  <c r="A293" i="5"/>
  <c r="H292" i="5"/>
  <c r="G292" i="5"/>
  <c r="F292" i="5"/>
  <c r="E292" i="5"/>
  <c r="D292" i="5"/>
  <c r="C292" i="5"/>
  <c r="B292" i="5"/>
  <c r="A292" i="5"/>
  <c r="H291" i="5"/>
  <c r="G291" i="5"/>
  <c r="F291" i="5"/>
  <c r="E291" i="5"/>
  <c r="D291" i="5"/>
  <c r="C291" i="5"/>
  <c r="B291" i="5"/>
  <c r="A291" i="5"/>
  <c r="H290" i="5"/>
  <c r="G290" i="5"/>
  <c r="F290" i="5"/>
  <c r="E290" i="5"/>
  <c r="D290" i="5"/>
  <c r="C290" i="5"/>
  <c r="B290" i="5"/>
  <c r="A290" i="5"/>
  <c r="H289" i="5"/>
  <c r="G289" i="5"/>
  <c r="F289" i="5"/>
  <c r="E289" i="5"/>
  <c r="D289" i="5"/>
  <c r="C289" i="5"/>
  <c r="B289" i="5"/>
  <c r="A289" i="5"/>
  <c r="H288" i="5"/>
  <c r="G288" i="5"/>
  <c r="F288" i="5"/>
  <c r="E288" i="5"/>
  <c r="D288" i="5"/>
  <c r="C288" i="5"/>
  <c r="B288" i="5"/>
  <c r="A288" i="5"/>
  <c r="H287" i="5"/>
  <c r="G287" i="5"/>
  <c r="F287" i="5"/>
  <c r="E287" i="5"/>
  <c r="D287" i="5"/>
  <c r="C287" i="5"/>
  <c r="B287" i="5"/>
  <c r="A287" i="5"/>
  <c r="H286" i="5"/>
  <c r="G286" i="5"/>
  <c r="F286" i="5"/>
  <c r="E286" i="5"/>
  <c r="D286" i="5"/>
  <c r="C286" i="5"/>
  <c r="B286" i="5"/>
  <c r="A286" i="5"/>
  <c r="H285" i="5"/>
  <c r="G285" i="5"/>
  <c r="F285" i="5"/>
  <c r="E285" i="5"/>
  <c r="D285" i="5"/>
  <c r="C285" i="5"/>
  <c r="B285" i="5"/>
  <c r="A285" i="5"/>
  <c r="H284" i="5"/>
  <c r="G284" i="5"/>
  <c r="F284" i="5"/>
  <c r="E284" i="5"/>
  <c r="D284" i="5"/>
  <c r="C284" i="5"/>
  <c r="B284" i="5"/>
  <c r="A284" i="5"/>
  <c r="H283" i="5"/>
  <c r="G283" i="5"/>
  <c r="F283" i="5"/>
  <c r="E283" i="5"/>
  <c r="D283" i="5"/>
  <c r="C283" i="5"/>
  <c r="B283" i="5"/>
  <c r="A283" i="5"/>
  <c r="H282" i="5"/>
  <c r="G282" i="5"/>
  <c r="F282" i="5"/>
  <c r="E282" i="5"/>
  <c r="D282" i="5"/>
  <c r="C282" i="5"/>
  <c r="B282" i="5"/>
  <c r="A282" i="5"/>
  <c r="H281" i="5"/>
  <c r="G281" i="5"/>
  <c r="F281" i="5"/>
  <c r="E281" i="5"/>
  <c r="D281" i="5"/>
  <c r="C281" i="5"/>
  <c r="B281" i="5"/>
  <c r="A281" i="5"/>
  <c r="H280" i="5"/>
  <c r="G280" i="5"/>
  <c r="F280" i="5"/>
  <c r="E280" i="5"/>
  <c r="D280" i="5"/>
  <c r="C280" i="5"/>
  <c r="B280" i="5"/>
  <c r="A280" i="5"/>
  <c r="H279" i="5"/>
  <c r="G279" i="5"/>
  <c r="F279" i="5"/>
  <c r="E279" i="5"/>
  <c r="D279" i="5"/>
  <c r="C279" i="5"/>
  <c r="B279" i="5"/>
  <c r="A279" i="5"/>
  <c r="H278" i="5"/>
  <c r="G278" i="5"/>
  <c r="F278" i="5"/>
  <c r="E278" i="5"/>
  <c r="D278" i="5"/>
  <c r="C278" i="5"/>
  <c r="B278" i="5"/>
  <c r="A278" i="5"/>
  <c r="H277" i="5"/>
  <c r="G277" i="5"/>
  <c r="F277" i="5"/>
  <c r="E277" i="5"/>
  <c r="D277" i="5"/>
  <c r="C277" i="5"/>
  <c r="B277" i="5"/>
  <c r="A277" i="5"/>
  <c r="H276" i="5"/>
  <c r="G276" i="5"/>
  <c r="F276" i="5"/>
  <c r="E276" i="5"/>
  <c r="D276" i="5"/>
  <c r="C276" i="5"/>
  <c r="B276" i="5"/>
  <c r="A276" i="5"/>
  <c r="H275" i="5"/>
  <c r="G275" i="5"/>
  <c r="F275" i="5"/>
  <c r="E275" i="5"/>
  <c r="D275" i="5"/>
  <c r="C275" i="5"/>
  <c r="B275" i="5"/>
  <c r="A275" i="5"/>
  <c r="H274" i="5"/>
  <c r="G274" i="5"/>
  <c r="F274" i="5"/>
  <c r="E274" i="5"/>
  <c r="D274" i="5"/>
  <c r="C274" i="5"/>
  <c r="B274" i="5"/>
  <c r="A274" i="5"/>
  <c r="H273" i="5"/>
  <c r="G273" i="5"/>
  <c r="F273" i="5"/>
  <c r="E273" i="5"/>
  <c r="D273" i="5"/>
  <c r="C273" i="5"/>
  <c r="B273" i="5"/>
  <c r="A273" i="5"/>
  <c r="H272" i="5"/>
  <c r="G272" i="5"/>
  <c r="F272" i="5"/>
  <c r="E272" i="5"/>
  <c r="D272" i="5"/>
  <c r="C272" i="5"/>
  <c r="B272" i="5"/>
  <c r="A272" i="5"/>
  <c r="H271" i="5"/>
  <c r="G271" i="5"/>
  <c r="F271" i="5"/>
  <c r="E271" i="5"/>
  <c r="D271" i="5"/>
  <c r="C271" i="5"/>
  <c r="B271" i="5"/>
  <c r="A271" i="5"/>
  <c r="H270" i="5"/>
  <c r="G270" i="5"/>
  <c r="F270" i="5"/>
  <c r="E270" i="5"/>
  <c r="D270" i="5"/>
  <c r="C270" i="5"/>
  <c r="B270" i="5"/>
  <c r="A270" i="5"/>
  <c r="H269" i="5"/>
  <c r="G269" i="5"/>
  <c r="F269" i="5"/>
  <c r="E269" i="5"/>
  <c r="D269" i="5"/>
  <c r="C269" i="5"/>
  <c r="B269" i="5"/>
  <c r="A269" i="5"/>
  <c r="H268" i="5"/>
  <c r="G268" i="5"/>
  <c r="F268" i="5"/>
  <c r="E268" i="5"/>
  <c r="D268" i="5"/>
  <c r="C268" i="5"/>
  <c r="B268" i="5"/>
  <c r="A268" i="5"/>
  <c r="H267" i="5"/>
  <c r="G267" i="5"/>
  <c r="F267" i="5"/>
  <c r="E267" i="5"/>
  <c r="D267" i="5"/>
  <c r="C267" i="5"/>
  <c r="B267" i="5"/>
  <c r="A267" i="5"/>
  <c r="H266" i="5"/>
  <c r="G266" i="5"/>
  <c r="F266" i="5"/>
  <c r="E266" i="5"/>
  <c r="D266" i="5"/>
  <c r="C266" i="5"/>
  <c r="B266" i="5"/>
  <c r="A266" i="5"/>
  <c r="H265" i="5"/>
  <c r="G265" i="5"/>
  <c r="F265" i="5"/>
  <c r="E265" i="5"/>
  <c r="D265" i="5"/>
  <c r="C265" i="5"/>
  <c r="B265" i="5"/>
  <c r="A265" i="5"/>
  <c r="H264" i="5"/>
  <c r="G264" i="5"/>
  <c r="F264" i="5"/>
  <c r="E264" i="5"/>
  <c r="D264" i="5"/>
  <c r="C264" i="5"/>
  <c r="B264" i="5"/>
  <c r="A264" i="5"/>
  <c r="H263" i="5"/>
  <c r="G263" i="5"/>
  <c r="F263" i="5"/>
  <c r="E263" i="5"/>
  <c r="D263" i="5"/>
  <c r="C263" i="5"/>
  <c r="B263" i="5"/>
  <c r="A263" i="5"/>
  <c r="H262" i="5"/>
  <c r="G262" i="5"/>
  <c r="F262" i="5"/>
  <c r="E262" i="5"/>
  <c r="D262" i="5"/>
  <c r="C262" i="5"/>
  <c r="B262" i="5"/>
  <c r="A262" i="5"/>
  <c r="H261" i="5"/>
  <c r="G261" i="5"/>
  <c r="F261" i="5"/>
  <c r="E261" i="5"/>
  <c r="D261" i="5"/>
  <c r="C261" i="5"/>
  <c r="B261" i="5"/>
  <c r="A261" i="5"/>
  <c r="H260" i="5"/>
  <c r="G260" i="5"/>
  <c r="F260" i="5"/>
  <c r="E260" i="5"/>
  <c r="D260" i="5"/>
  <c r="C260" i="5"/>
  <c r="B260" i="5"/>
  <c r="A260" i="5"/>
  <c r="H259" i="5"/>
  <c r="G259" i="5"/>
  <c r="F259" i="5"/>
  <c r="E259" i="5"/>
  <c r="D259" i="5"/>
  <c r="C259" i="5"/>
  <c r="B259" i="5"/>
  <c r="A259" i="5"/>
  <c r="H258" i="5"/>
  <c r="G258" i="5"/>
  <c r="F258" i="5"/>
  <c r="E258" i="5"/>
  <c r="D258" i="5"/>
  <c r="C258" i="5"/>
  <c r="B258" i="5"/>
  <c r="A258" i="5"/>
  <c r="H257" i="5"/>
  <c r="G257" i="5"/>
  <c r="F257" i="5"/>
  <c r="E257" i="5"/>
  <c r="D257" i="5"/>
  <c r="C257" i="5"/>
  <c r="B257" i="5"/>
  <c r="A257" i="5"/>
  <c r="H256" i="5"/>
  <c r="G256" i="5"/>
  <c r="F256" i="5"/>
  <c r="E256" i="5"/>
  <c r="D256" i="5"/>
  <c r="C256" i="5"/>
  <c r="B256" i="5"/>
  <c r="A256" i="5"/>
  <c r="H255" i="5"/>
  <c r="G255" i="5"/>
  <c r="F255" i="5"/>
  <c r="E255" i="5"/>
  <c r="D255" i="5"/>
  <c r="C255" i="5"/>
  <c r="B255" i="5"/>
  <c r="A255" i="5"/>
  <c r="H254" i="5"/>
  <c r="G254" i="5"/>
  <c r="F254" i="5"/>
  <c r="E254" i="5"/>
  <c r="D254" i="5"/>
  <c r="C254" i="5"/>
  <c r="B254" i="5"/>
  <c r="A254" i="5"/>
  <c r="H253" i="5"/>
  <c r="G253" i="5"/>
  <c r="F253" i="5"/>
  <c r="E253" i="5"/>
  <c r="D253" i="5"/>
  <c r="C253" i="5"/>
  <c r="B253" i="5"/>
  <c r="A253" i="5"/>
  <c r="H252" i="5"/>
  <c r="G252" i="5"/>
  <c r="F252" i="5"/>
  <c r="E252" i="5"/>
  <c r="D252" i="5"/>
  <c r="C252" i="5"/>
  <c r="B252" i="5"/>
  <c r="A252" i="5"/>
  <c r="H251" i="5"/>
  <c r="G251" i="5"/>
  <c r="F251" i="5"/>
  <c r="E251" i="5"/>
  <c r="D251" i="5"/>
  <c r="C251" i="5"/>
  <c r="B251" i="5"/>
  <c r="A251" i="5"/>
  <c r="H250" i="5"/>
  <c r="G250" i="5"/>
  <c r="F250" i="5"/>
  <c r="E250" i="5"/>
  <c r="D250" i="5"/>
  <c r="C250" i="5"/>
  <c r="B250" i="5"/>
  <c r="A250" i="5"/>
  <c r="H249" i="5"/>
  <c r="G249" i="5"/>
  <c r="F249" i="5"/>
  <c r="E249" i="5"/>
  <c r="D249" i="5"/>
  <c r="C249" i="5"/>
  <c r="B249" i="5"/>
  <c r="A249" i="5"/>
  <c r="H248" i="5"/>
  <c r="G248" i="5"/>
  <c r="F248" i="5"/>
  <c r="E248" i="5"/>
  <c r="D248" i="5"/>
  <c r="C248" i="5"/>
  <c r="B248" i="5"/>
  <c r="A248" i="5"/>
  <c r="H247" i="5"/>
  <c r="G247" i="5"/>
  <c r="F247" i="5"/>
  <c r="E247" i="5"/>
  <c r="D247" i="5"/>
  <c r="C247" i="5"/>
  <c r="B247" i="5"/>
  <c r="A247" i="5"/>
  <c r="H246" i="5"/>
  <c r="G246" i="5"/>
  <c r="F246" i="5"/>
  <c r="E246" i="5"/>
  <c r="D246" i="5"/>
  <c r="C246" i="5"/>
  <c r="B246" i="5"/>
  <c r="A246" i="5"/>
  <c r="H245" i="5"/>
  <c r="G245" i="5"/>
  <c r="F245" i="5"/>
  <c r="E245" i="5"/>
  <c r="D245" i="5"/>
  <c r="C245" i="5"/>
  <c r="B245" i="5"/>
  <c r="A245" i="5"/>
  <c r="H244" i="5"/>
  <c r="G244" i="5"/>
  <c r="F244" i="5"/>
  <c r="E244" i="5"/>
  <c r="D244" i="5"/>
  <c r="C244" i="5"/>
  <c r="B244" i="5"/>
  <c r="A244" i="5"/>
  <c r="H243" i="5"/>
  <c r="G243" i="5"/>
  <c r="F243" i="5"/>
  <c r="E243" i="5"/>
  <c r="D243" i="5"/>
  <c r="C243" i="5"/>
  <c r="B243" i="5"/>
  <c r="A243" i="5"/>
  <c r="H242" i="5"/>
  <c r="G242" i="5"/>
  <c r="F242" i="5"/>
  <c r="E242" i="5"/>
  <c r="D242" i="5"/>
  <c r="C242" i="5"/>
  <c r="B242" i="5"/>
  <c r="A242" i="5"/>
  <c r="H241" i="5"/>
  <c r="G241" i="5"/>
  <c r="F241" i="5"/>
  <c r="E241" i="5"/>
  <c r="D241" i="5"/>
  <c r="C241" i="5"/>
  <c r="B241" i="5"/>
  <c r="A241" i="5"/>
  <c r="H240" i="5"/>
  <c r="G240" i="5"/>
  <c r="F240" i="5"/>
  <c r="E240" i="5"/>
  <c r="D240" i="5"/>
  <c r="C240" i="5"/>
  <c r="B240" i="5"/>
  <c r="A240" i="5"/>
  <c r="H239" i="5"/>
  <c r="G239" i="5"/>
  <c r="F239" i="5"/>
  <c r="E239" i="5"/>
  <c r="D239" i="5"/>
  <c r="C239" i="5"/>
  <c r="B239" i="5"/>
  <c r="A239" i="5"/>
  <c r="H238" i="5"/>
  <c r="G238" i="5"/>
  <c r="F238" i="5"/>
  <c r="E238" i="5"/>
  <c r="D238" i="5"/>
  <c r="C238" i="5"/>
  <c r="B238" i="5"/>
  <c r="A238" i="5"/>
  <c r="H237" i="5"/>
  <c r="G237" i="5"/>
  <c r="F237" i="5"/>
  <c r="E237" i="5"/>
  <c r="D237" i="5"/>
  <c r="C237" i="5"/>
  <c r="B237" i="5"/>
  <c r="A237" i="5"/>
  <c r="H236" i="5"/>
  <c r="G236" i="5"/>
  <c r="F236" i="5"/>
  <c r="E236" i="5"/>
  <c r="D236" i="5"/>
  <c r="C236" i="5"/>
  <c r="B236" i="5"/>
  <c r="A236" i="5"/>
  <c r="H235" i="5"/>
  <c r="G235" i="5"/>
  <c r="F235" i="5"/>
  <c r="E235" i="5"/>
  <c r="D235" i="5"/>
  <c r="C235" i="5"/>
  <c r="B235" i="5"/>
  <c r="A235" i="5"/>
  <c r="H234" i="5"/>
  <c r="G234" i="5"/>
  <c r="F234" i="5"/>
  <c r="E234" i="5"/>
  <c r="D234" i="5"/>
  <c r="C234" i="5"/>
  <c r="B234" i="5"/>
  <c r="A234" i="5"/>
  <c r="H233" i="5"/>
  <c r="G233" i="5"/>
  <c r="F233" i="5"/>
  <c r="E233" i="5"/>
  <c r="D233" i="5"/>
  <c r="C233" i="5"/>
  <c r="B233" i="5"/>
  <c r="A233" i="5"/>
  <c r="H232" i="5"/>
  <c r="G232" i="5"/>
  <c r="F232" i="5"/>
  <c r="E232" i="5"/>
  <c r="D232" i="5"/>
  <c r="C232" i="5"/>
  <c r="B232" i="5"/>
  <c r="A232" i="5"/>
  <c r="H231" i="5"/>
  <c r="G231" i="5"/>
  <c r="F231" i="5"/>
  <c r="E231" i="5"/>
  <c r="D231" i="5"/>
  <c r="C231" i="5"/>
  <c r="B231" i="5"/>
  <c r="A231" i="5"/>
  <c r="H230" i="5"/>
  <c r="G230" i="5"/>
  <c r="F230" i="5"/>
  <c r="E230" i="5"/>
  <c r="D230" i="5"/>
  <c r="C230" i="5"/>
  <c r="B230" i="5"/>
  <c r="A230" i="5"/>
  <c r="H229" i="5"/>
  <c r="G229" i="5"/>
  <c r="F229" i="5"/>
  <c r="E229" i="5"/>
  <c r="D229" i="5"/>
  <c r="C229" i="5"/>
  <c r="B229" i="5"/>
  <c r="A229" i="5"/>
  <c r="H228" i="5"/>
  <c r="G228" i="5"/>
  <c r="F228" i="5"/>
  <c r="E228" i="5"/>
  <c r="D228" i="5"/>
  <c r="C228" i="5"/>
  <c r="B228" i="5"/>
  <c r="A228" i="5"/>
  <c r="H227" i="5"/>
  <c r="G227" i="5"/>
  <c r="F227" i="5"/>
  <c r="E227" i="5"/>
  <c r="D227" i="5"/>
  <c r="C227" i="5"/>
  <c r="B227" i="5"/>
  <c r="A227" i="5"/>
  <c r="H226" i="5"/>
  <c r="G226" i="5"/>
  <c r="F226" i="5"/>
  <c r="E226" i="5"/>
  <c r="D226" i="5"/>
  <c r="C226" i="5"/>
  <c r="B226" i="5"/>
  <c r="A226" i="5"/>
  <c r="H225" i="5"/>
  <c r="G225" i="5"/>
  <c r="F225" i="5"/>
  <c r="E225" i="5"/>
  <c r="D225" i="5"/>
  <c r="C225" i="5"/>
  <c r="B225" i="5"/>
  <c r="A225" i="5"/>
  <c r="H224" i="5"/>
  <c r="G224" i="5"/>
  <c r="F224" i="5"/>
  <c r="E224" i="5"/>
  <c r="D224" i="5"/>
  <c r="C224" i="5"/>
  <c r="B224" i="5"/>
  <c r="A224" i="5"/>
  <c r="H223" i="5"/>
  <c r="G223" i="5"/>
  <c r="F223" i="5"/>
  <c r="E223" i="5"/>
  <c r="D223" i="5"/>
  <c r="C223" i="5"/>
  <c r="B223" i="5"/>
  <c r="A223" i="5"/>
  <c r="H222" i="5"/>
  <c r="G222" i="5"/>
  <c r="F222" i="5"/>
  <c r="E222" i="5"/>
  <c r="D222" i="5"/>
  <c r="C222" i="5"/>
  <c r="B222" i="5"/>
  <c r="A222" i="5"/>
  <c r="H221" i="5"/>
  <c r="G221" i="5"/>
  <c r="F221" i="5"/>
  <c r="E221" i="5"/>
  <c r="D221" i="5"/>
  <c r="C221" i="5"/>
  <c r="B221" i="5"/>
  <c r="A221" i="5"/>
  <c r="H220" i="5"/>
  <c r="G220" i="5"/>
  <c r="F220" i="5"/>
  <c r="E220" i="5"/>
  <c r="D220" i="5"/>
  <c r="C220" i="5"/>
  <c r="B220" i="5"/>
  <c r="A220" i="5"/>
  <c r="H219" i="5"/>
  <c r="G219" i="5"/>
  <c r="F219" i="5"/>
  <c r="E219" i="5"/>
  <c r="D219" i="5"/>
  <c r="C219" i="5"/>
  <c r="B219" i="5"/>
  <c r="A219" i="5"/>
  <c r="H218" i="5"/>
  <c r="G218" i="5"/>
  <c r="F218" i="5"/>
  <c r="E218" i="5"/>
  <c r="D218" i="5"/>
  <c r="C218" i="5"/>
  <c r="B218" i="5"/>
  <c r="A218" i="5"/>
  <c r="H217" i="5"/>
  <c r="G217" i="5"/>
  <c r="F217" i="5"/>
  <c r="E217" i="5"/>
  <c r="D217" i="5"/>
  <c r="C217" i="5"/>
  <c r="B217" i="5"/>
  <c r="A217" i="5"/>
  <c r="H216" i="5"/>
  <c r="G216" i="5"/>
  <c r="F216" i="5"/>
  <c r="E216" i="5"/>
  <c r="D216" i="5"/>
  <c r="C216" i="5"/>
  <c r="B216" i="5"/>
  <c r="A216" i="5"/>
  <c r="H215" i="5"/>
  <c r="G215" i="5"/>
  <c r="F215" i="5"/>
  <c r="E215" i="5"/>
  <c r="D215" i="5"/>
  <c r="C215" i="5"/>
  <c r="B215" i="5"/>
  <c r="A215" i="5"/>
  <c r="H214" i="5"/>
  <c r="G214" i="5"/>
  <c r="F214" i="5"/>
  <c r="E214" i="5"/>
  <c r="D214" i="5"/>
  <c r="C214" i="5"/>
  <c r="B214" i="5"/>
  <c r="A214" i="5"/>
  <c r="H213" i="5"/>
  <c r="G213" i="5"/>
  <c r="F213" i="5"/>
  <c r="E213" i="5"/>
  <c r="D213" i="5"/>
  <c r="C213" i="5"/>
  <c r="B213" i="5"/>
  <c r="A213" i="5"/>
  <c r="H212" i="5"/>
  <c r="G212" i="5"/>
  <c r="F212" i="5"/>
  <c r="E212" i="5"/>
  <c r="D212" i="5"/>
  <c r="C212" i="5"/>
  <c r="B212" i="5"/>
  <c r="A212" i="5"/>
  <c r="H211" i="5"/>
  <c r="G211" i="5"/>
  <c r="F211" i="5"/>
  <c r="E211" i="5"/>
  <c r="D211" i="5"/>
  <c r="C211" i="5"/>
  <c r="B211" i="5"/>
  <c r="A211" i="5"/>
  <c r="H210" i="5"/>
  <c r="G210" i="5"/>
  <c r="F210" i="5"/>
  <c r="E210" i="5"/>
  <c r="D210" i="5"/>
  <c r="C210" i="5"/>
  <c r="B210" i="5"/>
  <c r="A210" i="5"/>
  <c r="H209" i="5"/>
  <c r="G209" i="5"/>
  <c r="F209" i="5"/>
  <c r="E209" i="5"/>
  <c r="D209" i="5"/>
  <c r="C209" i="5"/>
  <c r="B209" i="5"/>
  <c r="A209" i="5"/>
  <c r="H208" i="5"/>
  <c r="G208" i="5"/>
  <c r="F208" i="5"/>
  <c r="E208" i="5"/>
  <c r="D208" i="5"/>
  <c r="C208" i="5"/>
  <c r="B208" i="5"/>
  <c r="A208" i="5"/>
  <c r="H207" i="5"/>
  <c r="G207" i="5"/>
  <c r="F207" i="5"/>
  <c r="E207" i="5"/>
  <c r="D207" i="5"/>
  <c r="C207" i="5"/>
  <c r="B207" i="5"/>
  <c r="A207" i="5"/>
  <c r="H206" i="5"/>
  <c r="G206" i="5"/>
  <c r="F206" i="5"/>
  <c r="E206" i="5"/>
  <c r="D206" i="5"/>
  <c r="C206" i="5"/>
  <c r="B206" i="5"/>
  <c r="A206" i="5"/>
  <c r="H205" i="5"/>
  <c r="G205" i="5"/>
  <c r="F205" i="5"/>
  <c r="E205" i="5"/>
  <c r="D205" i="5"/>
  <c r="C205" i="5"/>
  <c r="B205" i="5"/>
  <c r="A205" i="5"/>
  <c r="H204" i="5"/>
  <c r="G204" i="5"/>
  <c r="F204" i="5"/>
  <c r="E204" i="5"/>
  <c r="D204" i="5"/>
  <c r="C204" i="5"/>
  <c r="B204" i="5"/>
  <c r="A204" i="5"/>
  <c r="H203" i="5"/>
  <c r="G203" i="5"/>
  <c r="F203" i="5"/>
  <c r="E203" i="5"/>
  <c r="D203" i="5"/>
  <c r="C203" i="5"/>
  <c r="B203" i="5"/>
  <c r="A203" i="5"/>
  <c r="H202" i="5"/>
  <c r="G202" i="5"/>
  <c r="F202" i="5"/>
  <c r="E202" i="5"/>
  <c r="D202" i="5"/>
  <c r="C202" i="5"/>
  <c r="B202" i="5"/>
  <c r="A202" i="5"/>
  <c r="H201" i="5"/>
  <c r="G201" i="5"/>
  <c r="F201" i="5"/>
  <c r="E201" i="5"/>
  <c r="D201" i="5"/>
  <c r="C201" i="5"/>
  <c r="B201" i="5"/>
  <c r="A201" i="5"/>
  <c r="H200" i="5"/>
  <c r="G200" i="5"/>
  <c r="F200" i="5"/>
  <c r="E200" i="5"/>
  <c r="D200" i="5"/>
  <c r="C200" i="5"/>
  <c r="B200" i="5"/>
  <c r="A200" i="5"/>
  <c r="H199" i="5"/>
  <c r="G199" i="5"/>
  <c r="F199" i="5"/>
  <c r="E199" i="5"/>
  <c r="D199" i="5"/>
  <c r="C199" i="5"/>
  <c r="B199" i="5"/>
  <c r="A199" i="5"/>
  <c r="H198" i="5"/>
  <c r="G198" i="5"/>
  <c r="F198" i="5"/>
  <c r="E198" i="5"/>
  <c r="D198" i="5"/>
  <c r="C198" i="5"/>
  <c r="B198" i="5"/>
  <c r="A198" i="5"/>
  <c r="H197" i="5"/>
  <c r="G197" i="5"/>
  <c r="F197" i="5"/>
  <c r="E197" i="5"/>
  <c r="D197" i="5"/>
  <c r="C197" i="5"/>
  <c r="B197" i="5"/>
  <c r="A197" i="5"/>
  <c r="H196" i="5"/>
  <c r="G196" i="5"/>
  <c r="F196" i="5"/>
  <c r="E196" i="5"/>
  <c r="D196" i="5"/>
  <c r="C196" i="5"/>
  <c r="B196" i="5"/>
  <c r="A196" i="5"/>
  <c r="H195" i="5"/>
  <c r="G195" i="5"/>
  <c r="F195" i="5"/>
  <c r="E195" i="5"/>
  <c r="D195" i="5"/>
  <c r="C195" i="5"/>
  <c r="B195" i="5"/>
  <c r="A195" i="5"/>
  <c r="H194" i="5"/>
  <c r="G194" i="5"/>
  <c r="F194" i="5"/>
  <c r="E194" i="5"/>
  <c r="D194" i="5"/>
  <c r="C194" i="5"/>
  <c r="B194" i="5"/>
  <c r="A194" i="5"/>
  <c r="H193" i="5"/>
  <c r="G193" i="5"/>
  <c r="F193" i="5"/>
  <c r="E193" i="5"/>
  <c r="D193" i="5"/>
  <c r="C193" i="5"/>
  <c r="B193" i="5"/>
  <c r="A193" i="5"/>
  <c r="H192" i="5"/>
  <c r="G192" i="5"/>
  <c r="F192" i="5"/>
  <c r="E192" i="5"/>
  <c r="D192" i="5"/>
  <c r="C192" i="5"/>
  <c r="B192" i="5"/>
  <c r="A192" i="5"/>
  <c r="H191" i="5"/>
  <c r="G191" i="5"/>
  <c r="F191" i="5"/>
  <c r="E191" i="5"/>
  <c r="D191" i="5"/>
  <c r="C191" i="5"/>
  <c r="B191" i="5"/>
  <c r="A191" i="5"/>
  <c r="H190" i="5"/>
  <c r="G190" i="5"/>
  <c r="F190" i="5"/>
  <c r="E190" i="5"/>
  <c r="D190" i="5"/>
  <c r="C190" i="5"/>
  <c r="B190" i="5"/>
  <c r="A190" i="5"/>
  <c r="H189" i="5"/>
  <c r="G189" i="5"/>
  <c r="F189" i="5"/>
  <c r="E189" i="5"/>
  <c r="D189" i="5"/>
  <c r="C189" i="5"/>
  <c r="B189" i="5"/>
  <c r="A189" i="5"/>
  <c r="H188" i="5"/>
  <c r="G188" i="5"/>
  <c r="F188" i="5"/>
  <c r="E188" i="5"/>
  <c r="D188" i="5"/>
  <c r="C188" i="5"/>
  <c r="B188" i="5"/>
  <c r="A188" i="5"/>
  <c r="H187" i="5"/>
  <c r="G187" i="5"/>
  <c r="F187" i="5"/>
  <c r="E187" i="5"/>
  <c r="D187" i="5"/>
  <c r="C187" i="5"/>
  <c r="B187" i="5"/>
  <c r="A187" i="5"/>
  <c r="H186" i="5"/>
  <c r="G186" i="5"/>
  <c r="F186" i="5"/>
  <c r="E186" i="5"/>
  <c r="D186" i="5"/>
  <c r="C186" i="5"/>
  <c r="B186" i="5"/>
  <c r="A186" i="5"/>
  <c r="H185" i="5"/>
  <c r="G185" i="5"/>
  <c r="F185" i="5"/>
  <c r="E185" i="5"/>
  <c r="D185" i="5"/>
  <c r="C185" i="5"/>
  <c r="B185" i="5"/>
  <c r="A185" i="5"/>
  <c r="H184" i="5"/>
  <c r="G184" i="5"/>
  <c r="F184" i="5"/>
  <c r="E184" i="5"/>
  <c r="D184" i="5"/>
  <c r="C184" i="5"/>
  <c r="B184" i="5"/>
  <c r="A184" i="5"/>
  <c r="H183" i="5"/>
  <c r="G183" i="5"/>
  <c r="F183" i="5"/>
  <c r="E183" i="5"/>
  <c r="D183" i="5"/>
  <c r="C183" i="5"/>
  <c r="B183" i="5"/>
  <c r="A183" i="5"/>
  <c r="H182" i="5"/>
  <c r="G182" i="5"/>
  <c r="F182" i="5"/>
  <c r="E182" i="5"/>
  <c r="D182" i="5"/>
  <c r="C182" i="5"/>
  <c r="B182" i="5"/>
  <c r="A182" i="5"/>
  <c r="H181" i="5"/>
  <c r="G181" i="5"/>
  <c r="F181" i="5"/>
  <c r="E181" i="5"/>
  <c r="D181" i="5"/>
  <c r="C181" i="5"/>
  <c r="B181" i="5"/>
  <c r="A181" i="5"/>
  <c r="H180" i="5"/>
  <c r="G180" i="5"/>
  <c r="F180" i="5"/>
  <c r="E180" i="5"/>
  <c r="D180" i="5"/>
  <c r="C180" i="5"/>
  <c r="B180" i="5"/>
  <c r="A180" i="5"/>
  <c r="H179" i="5"/>
  <c r="G179" i="5"/>
  <c r="F179" i="5"/>
  <c r="E179" i="5"/>
  <c r="D179" i="5"/>
  <c r="C179" i="5"/>
  <c r="B179" i="5"/>
  <c r="A179" i="5"/>
  <c r="H178" i="5"/>
  <c r="G178" i="5"/>
  <c r="F178" i="5"/>
  <c r="E178" i="5"/>
  <c r="D178" i="5"/>
  <c r="C178" i="5"/>
  <c r="B178" i="5"/>
  <c r="A178" i="5"/>
  <c r="H177" i="5"/>
  <c r="G177" i="5"/>
  <c r="F177" i="5"/>
  <c r="E177" i="5"/>
  <c r="D177" i="5"/>
  <c r="C177" i="5"/>
  <c r="B177" i="5"/>
  <c r="A177" i="5"/>
  <c r="H176" i="5"/>
  <c r="G176" i="5"/>
  <c r="F176" i="5"/>
  <c r="E176" i="5"/>
  <c r="D176" i="5"/>
  <c r="C176" i="5"/>
  <c r="B176" i="5"/>
  <c r="A176" i="5"/>
  <c r="H175" i="5"/>
  <c r="G175" i="5"/>
  <c r="F175" i="5"/>
  <c r="E175" i="5"/>
  <c r="D175" i="5"/>
  <c r="C175" i="5"/>
  <c r="B175" i="5"/>
  <c r="A175" i="5"/>
  <c r="H174" i="5"/>
  <c r="G174" i="5"/>
  <c r="F174" i="5"/>
  <c r="E174" i="5"/>
  <c r="D174" i="5"/>
  <c r="C174" i="5"/>
  <c r="B174" i="5"/>
  <c r="A174" i="5"/>
  <c r="H173" i="5"/>
  <c r="G173" i="5"/>
  <c r="F173" i="5"/>
  <c r="E173" i="5"/>
  <c r="D173" i="5"/>
  <c r="C173" i="5"/>
  <c r="B173" i="5"/>
  <c r="A173" i="5"/>
  <c r="H172" i="5"/>
  <c r="G172" i="5"/>
  <c r="F172" i="5"/>
  <c r="E172" i="5"/>
  <c r="D172" i="5"/>
  <c r="C172" i="5"/>
  <c r="B172" i="5"/>
  <c r="A172" i="5"/>
  <c r="H171" i="5"/>
  <c r="G171" i="5"/>
  <c r="F171" i="5"/>
  <c r="E171" i="5"/>
  <c r="D171" i="5"/>
  <c r="C171" i="5"/>
  <c r="B171" i="5"/>
  <c r="A171" i="5"/>
  <c r="H170" i="5"/>
  <c r="G170" i="5"/>
  <c r="F170" i="5"/>
  <c r="E170" i="5"/>
  <c r="D170" i="5"/>
  <c r="C170" i="5"/>
  <c r="B170" i="5"/>
  <c r="A170" i="5"/>
  <c r="H169" i="5"/>
  <c r="G169" i="5"/>
  <c r="F169" i="5"/>
  <c r="E169" i="5"/>
  <c r="D169" i="5"/>
  <c r="C169" i="5"/>
  <c r="B169" i="5"/>
  <c r="A169" i="5"/>
  <c r="H168" i="5"/>
  <c r="G168" i="5"/>
  <c r="F168" i="5"/>
  <c r="E168" i="5"/>
  <c r="D168" i="5"/>
  <c r="C168" i="5"/>
  <c r="B168" i="5"/>
  <c r="A168" i="5"/>
  <c r="H167" i="5"/>
  <c r="G167" i="5"/>
  <c r="F167" i="5"/>
  <c r="E167" i="5"/>
  <c r="D167" i="5"/>
  <c r="C167" i="5"/>
  <c r="B167" i="5"/>
  <c r="A167" i="5"/>
  <c r="H166" i="5"/>
  <c r="G166" i="5"/>
  <c r="F166" i="5"/>
  <c r="E166" i="5"/>
  <c r="D166" i="5"/>
  <c r="C166" i="5"/>
  <c r="B166" i="5"/>
  <c r="A166" i="5"/>
  <c r="H165" i="5"/>
  <c r="G165" i="5"/>
  <c r="F165" i="5"/>
  <c r="E165" i="5"/>
  <c r="D165" i="5"/>
  <c r="C165" i="5"/>
  <c r="B165" i="5"/>
  <c r="A165" i="5"/>
  <c r="H164" i="5"/>
  <c r="G164" i="5"/>
  <c r="F164" i="5"/>
  <c r="E164" i="5"/>
  <c r="D164" i="5"/>
  <c r="C164" i="5"/>
  <c r="B164" i="5"/>
  <c r="A164" i="5"/>
  <c r="H163" i="5"/>
  <c r="G163" i="5"/>
  <c r="F163" i="5"/>
  <c r="E163" i="5"/>
  <c r="D163" i="5"/>
  <c r="C163" i="5"/>
  <c r="B163" i="5"/>
  <c r="A163" i="5"/>
  <c r="H162" i="5"/>
  <c r="G162" i="5"/>
  <c r="F162" i="5"/>
  <c r="E162" i="5"/>
  <c r="D162" i="5"/>
  <c r="C162" i="5"/>
  <c r="B162" i="5"/>
  <c r="A162" i="5"/>
  <c r="H161" i="5"/>
  <c r="G161" i="5"/>
  <c r="F161" i="5"/>
  <c r="E161" i="5"/>
  <c r="D161" i="5"/>
  <c r="C161" i="5"/>
  <c r="B161" i="5"/>
  <c r="A161" i="5"/>
  <c r="H160" i="5"/>
  <c r="G160" i="5"/>
  <c r="F160" i="5"/>
  <c r="E160" i="5"/>
  <c r="D160" i="5"/>
  <c r="C160" i="5"/>
  <c r="B160" i="5"/>
  <c r="A160" i="5"/>
  <c r="H159" i="5"/>
  <c r="G159" i="5"/>
  <c r="F159" i="5"/>
  <c r="E159" i="5"/>
  <c r="D159" i="5"/>
  <c r="C159" i="5"/>
  <c r="B159" i="5"/>
  <c r="A159" i="5"/>
  <c r="H158" i="5"/>
  <c r="G158" i="5"/>
  <c r="F158" i="5"/>
  <c r="E158" i="5"/>
  <c r="D158" i="5"/>
  <c r="C158" i="5"/>
  <c r="B158" i="5"/>
  <c r="A158" i="5"/>
  <c r="H157" i="5"/>
  <c r="G157" i="5"/>
  <c r="F157" i="5"/>
  <c r="E157" i="5"/>
  <c r="D157" i="5"/>
  <c r="C157" i="5"/>
  <c r="B157" i="5"/>
  <c r="A157" i="5"/>
  <c r="H156" i="5"/>
  <c r="G156" i="5"/>
  <c r="F156" i="5"/>
  <c r="E156" i="5"/>
  <c r="D156" i="5"/>
  <c r="C156" i="5"/>
  <c r="B156" i="5"/>
  <c r="A156" i="5"/>
  <c r="H155" i="5"/>
  <c r="G155" i="5"/>
  <c r="F155" i="5"/>
  <c r="E155" i="5"/>
  <c r="D155" i="5"/>
  <c r="C155" i="5"/>
  <c r="B155" i="5"/>
  <c r="A155" i="5"/>
  <c r="H154" i="5"/>
  <c r="G154" i="5"/>
  <c r="F154" i="5"/>
  <c r="E154" i="5"/>
  <c r="D154" i="5"/>
  <c r="C154" i="5"/>
  <c r="B154" i="5"/>
  <c r="A154" i="5"/>
  <c r="H153" i="5"/>
  <c r="G153" i="5"/>
  <c r="F153" i="5"/>
  <c r="E153" i="5"/>
  <c r="D153" i="5"/>
  <c r="C153" i="5"/>
  <c r="B153" i="5"/>
  <c r="A153" i="5"/>
  <c r="H152" i="5"/>
  <c r="G152" i="5"/>
  <c r="F152" i="5"/>
  <c r="E152" i="5"/>
  <c r="D152" i="5"/>
  <c r="C152" i="5"/>
  <c r="B152" i="5"/>
  <c r="A152" i="5"/>
  <c r="H151" i="5"/>
  <c r="G151" i="5"/>
  <c r="F151" i="5"/>
  <c r="E151" i="5"/>
  <c r="D151" i="5"/>
  <c r="C151" i="5"/>
  <c r="B151" i="5"/>
  <c r="A151" i="5"/>
  <c r="H150" i="5"/>
  <c r="G150" i="5"/>
  <c r="F150" i="5"/>
  <c r="E150" i="5"/>
  <c r="D150" i="5"/>
  <c r="C150" i="5"/>
  <c r="B150" i="5"/>
  <c r="A150" i="5"/>
  <c r="H149" i="5"/>
  <c r="G149" i="5"/>
  <c r="F149" i="5"/>
  <c r="E149" i="5"/>
  <c r="D149" i="5"/>
  <c r="C149" i="5"/>
  <c r="B149" i="5"/>
  <c r="A149" i="5"/>
  <c r="H148" i="5"/>
  <c r="G148" i="5"/>
  <c r="F148" i="5"/>
  <c r="E148" i="5"/>
  <c r="D148" i="5"/>
  <c r="C148" i="5"/>
  <c r="B148" i="5"/>
  <c r="A148" i="5"/>
  <c r="H147" i="5"/>
  <c r="G147" i="5"/>
  <c r="F147" i="5"/>
  <c r="E147" i="5"/>
  <c r="D147" i="5"/>
  <c r="C147" i="5"/>
  <c r="B147" i="5"/>
  <c r="A147" i="5"/>
  <c r="H146" i="5"/>
  <c r="G146" i="5"/>
  <c r="F146" i="5"/>
  <c r="E146" i="5"/>
  <c r="D146" i="5"/>
  <c r="C146" i="5"/>
  <c r="B146" i="5"/>
  <c r="A146" i="5"/>
  <c r="H145" i="5"/>
  <c r="G145" i="5"/>
  <c r="F145" i="5"/>
  <c r="E145" i="5"/>
  <c r="D145" i="5"/>
  <c r="C145" i="5"/>
  <c r="B145" i="5"/>
  <c r="A145" i="5"/>
  <c r="H144" i="5"/>
  <c r="G144" i="5"/>
  <c r="F144" i="5"/>
  <c r="E144" i="5"/>
  <c r="D144" i="5"/>
  <c r="C144" i="5"/>
  <c r="B144" i="5"/>
  <c r="A144" i="5"/>
  <c r="H143" i="5"/>
  <c r="G143" i="5"/>
  <c r="F143" i="5"/>
  <c r="E143" i="5"/>
  <c r="D143" i="5"/>
  <c r="C143" i="5"/>
  <c r="B143" i="5"/>
  <c r="A143" i="5"/>
  <c r="H142" i="5"/>
  <c r="G142" i="5"/>
  <c r="F142" i="5"/>
  <c r="E142" i="5"/>
  <c r="D142" i="5"/>
  <c r="C142" i="5"/>
  <c r="B142" i="5"/>
  <c r="A142" i="5"/>
  <c r="H141" i="5"/>
  <c r="G141" i="5"/>
  <c r="F141" i="5"/>
  <c r="E141" i="5"/>
  <c r="D141" i="5"/>
  <c r="C141" i="5"/>
  <c r="B141" i="5"/>
  <c r="A141" i="5"/>
  <c r="H140" i="5"/>
  <c r="G140" i="5"/>
  <c r="F140" i="5"/>
  <c r="E140" i="5"/>
  <c r="D140" i="5"/>
  <c r="C140" i="5"/>
  <c r="B140" i="5"/>
  <c r="A140" i="5"/>
  <c r="H139" i="5"/>
  <c r="G139" i="5"/>
  <c r="F139" i="5"/>
  <c r="E139" i="5"/>
  <c r="D139" i="5"/>
  <c r="C139" i="5"/>
  <c r="B139" i="5"/>
  <c r="A139" i="5"/>
  <c r="H138" i="5"/>
  <c r="G138" i="5"/>
  <c r="F138" i="5"/>
  <c r="E138" i="5"/>
  <c r="D138" i="5"/>
  <c r="C138" i="5"/>
  <c r="B138" i="5"/>
  <c r="A138" i="5"/>
  <c r="H137" i="5"/>
  <c r="G137" i="5"/>
  <c r="F137" i="5"/>
  <c r="E137" i="5"/>
  <c r="D137" i="5"/>
  <c r="C137" i="5"/>
  <c r="B137" i="5"/>
  <c r="A137" i="5"/>
  <c r="H136" i="5"/>
  <c r="G136" i="5"/>
  <c r="F136" i="5"/>
  <c r="E136" i="5"/>
  <c r="D136" i="5"/>
  <c r="C136" i="5"/>
  <c r="B136" i="5"/>
  <c r="A136" i="5"/>
  <c r="H135" i="5"/>
  <c r="G135" i="5"/>
  <c r="F135" i="5"/>
  <c r="E135" i="5"/>
  <c r="D135" i="5"/>
  <c r="C135" i="5"/>
  <c r="B135" i="5"/>
  <c r="A135" i="5"/>
  <c r="H134" i="5"/>
  <c r="G134" i="5"/>
  <c r="F134" i="5"/>
  <c r="E134" i="5"/>
  <c r="D134" i="5"/>
  <c r="C134" i="5"/>
  <c r="B134" i="5"/>
  <c r="A134" i="5"/>
  <c r="H133" i="5"/>
  <c r="G133" i="5"/>
  <c r="F133" i="5"/>
  <c r="E133" i="5"/>
  <c r="D133" i="5"/>
  <c r="C133" i="5"/>
  <c r="B133" i="5"/>
  <c r="A133" i="5"/>
  <c r="H132" i="5"/>
  <c r="G132" i="5"/>
  <c r="F132" i="5"/>
  <c r="E132" i="5"/>
  <c r="D132" i="5"/>
  <c r="C132" i="5"/>
  <c r="B132" i="5"/>
  <c r="A132" i="5"/>
  <c r="H131" i="5"/>
  <c r="G131" i="5"/>
  <c r="F131" i="5"/>
  <c r="E131" i="5"/>
  <c r="D131" i="5"/>
  <c r="C131" i="5"/>
  <c r="B131" i="5"/>
  <c r="A131" i="5"/>
  <c r="H130" i="5"/>
  <c r="G130" i="5"/>
  <c r="F130" i="5"/>
  <c r="E130" i="5"/>
  <c r="D130" i="5"/>
  <c r="C130" i="5"/>
  <c r="B130" i="5"/>
  <c r="A130" i="5"/>
  <c r="H129" i="5"/>
  <c r="G129" i="5"/>
  <c r="F129" i="5"/>
  <c r="E129" i="5"/>
  <c r="D129" i="5"/>
  <c r="C129" i="5"/>
  <c r="B129" i="5"/>
  <c r="A129" i="5"/>
  <c r="H128" i="5"/>
  <c r="G128" i="5"/>
  <c r="F128" i="5"/>
  <c r="E128" i="5"/>
  <c r="D128" i="5"/>
  <c r="C128" i="5"/>
  <c r="B128" i="5"/>
  <c r="A128" i="5"/>
  <c r="H127" i="5"/>
  <c r="G127" i="5"/>
  <c r="F127" i="5"/>
  <c r="E127" i="5"/>
  <c r="D127" i="5"/>
  <c r="C127" i="5"/>
  <c r="B127" i="5"/>
  <c r="A127" i="5"/>
  <c r="H126" i="5"/>
  <c r="G126" i="5"/>
  <c r="F126" i="5"/>
  <c r="E126" i="5"/>
  <c r="D126" i="5"/>
  <c r="C126" i="5"/>
  <c r="B126" i="5"/>
  <c r="A126" i="5"/>
  <c r="H125" i="5"/>
  <c r="G125" i="5"/>
  <c r="F125" i="5"/>
  <c r="E125" i="5"/>
  <c r="D125" i="5"/>
  <c r="C125" i="5"/>
  <c r="B125" i="5"/>
  <c r="A125" i="5"/>
  <c r="H124" i="5"/>
  <c r="G124" i="5"/>
  <c r="F124" i="5"/>
  <c r="E124" i="5"/>
  <c r="D124" i="5"/>
  <c r="C124" i="5"/>
  <c r="B124" i="5"/>
  <c r="A124" i="5"/>
  <c r="H123" i="5"/>
  <c r="G123" i="5"/>
  <c r="F123" i="5"/>
  <c r="E123" i="5"/>
  <c r="D123" i="5"/>
  <c r="C123" i="5"/>
  <c r="B123" i="5"/>
  <c r="A123" i="5"/>
  <c r="H122" i="5"/>
  <c r="G122" i="5"/>
  <c r="F122" i="5"/>
  <c r="E122" i="5"/>
  <c r="D122" i="5"/>
  <c r="C122" i="5"/>
  <c r="B122" i="5"/>
  <c r="A122" i="5"/>
  <c r="H121" i="5"/>
  <c r="G121" i="5"/>
  <c r="F121" i="5"/>
  <c r="E121" i="5"/>
  <c r="D121" i="5"/>
  <c r="C121" i="5"/>
  <c r="B121" i="5"/>
  <c r="A121" i="5"/>
  <c r="H120" i="5"/>
  <c r="G120" i="5"/>
  <c r="F120" i="5"/>
  <c r="E120" i="5"/>
  <c r="D120" i="5"/>
  <c r="C120" i="5"/>
  <c r="B120" i="5"/>
  <c r="A120" i="5"/>
  <c r="H119" i="5"/>
  <c r="G119" i="5"/>
  <c r="F119" i="5"/>
  <c r="E119" i="5"/>
  <c r="D119" i="5"/>
  <c r="C119" i="5"/>
  <c r="B119" i="5"/>
  <c r="A119" i="5"/>
  <c r="H118" i="5"/>
  <c r="G118" i="5"/>
  <c r="F118" i="5"/>
  <c r="E118" i="5"/>
  <c r="D118" i="5"/>
  <c r="C118" i="5"/>
  <c r="B118" i="5"/>
  <c r="A118" i="5"/>
  <c r="H117" i="5"/>
  <c r="G117" i="5"/>
  <c r="F117" i="5"/>
  <c r="E117" i="5"/>
  <c r="D117" i="5"/>
  <c r="C117" i="5"/>
  <c r="B117" i="5"/>
  <c r="A117" i="5"/>
  <c r="H116" i="5"/>
  <c r="G116" i="5"/>
  <c r="F116" i="5"/>
  <c r="E116" i="5"/>
  <c r="D116" i="5"/>
  <c r="C116" i="5"/>
  <c r="B116" i="5"/>
  <c r="A116" i="5"/>
  <c r="H115" i="5"/>
  <c r="G115" i="5"/>
  <c r="F115" i="5"/>
  <c r="E115" i="5"/>
  <c r="D115" i="5"/>
  <c r="C115" i="5"/>
  <c r="B115" i="5"/>
  <c r="A115" i="5"/>
  <c r="H114" i="5"/>
  <c r="G114" i="5"/>
  <c r="F114" i="5"/>
  <c r="E114" i="5"/>
  <c r="D114" i="5"/>
  <c r="C114" i="5"/>
  <c r="B114" i="5"/>
  <c r="A114" i="5"/>
  <c r="H113" i="5"/>
  <c r="G113" i="5"/>
  <c r="F113" i="5"/>
  <c r="E113" i="5"/>
  <c r="D113" i="5"/>
  <c r="C113" i="5"/>
  <c r="B113" i="5"/>
  <c r="A113" i="5"/>
  <c r="H112" i="5"/>
  <c r="G112" i="5"/>
  <c r="F112" i="5"/>
  <c r="E112" i="5"/>
  <c r="D112" i="5"/>
  <c r="C112" i="5"/>
  <c r="B112" i="5"/>
  <c r="A112" i="5"/>
  <c r="H111" i="5"/>
  <c r="G111" i="5"/>
  <c r="F111" i="5"/>
  <c r="E111" i="5"/>
  <c r="D111" i="5"/>
  <c r="C111" i="5"/>
  <c r="B111" i="5"/>
  <c r="A111" i="5"/>
  <c r="H110" i="5"/>
  <c r="G110" i="5"/>
  <c r="F110" i="5"/>
  <c r="E110" i="5"/>
  <c r="D110" i="5"/>
  <c r="C110" i="5"/>
  <c r="B110" i="5"/>
  <c r="A110" i="5"/>
  <c r="H109" i="5"/>
  <c r="G109" i="5"/>
  <c r="F109" i="5"/>
  <c r="E109" i="5"/>
  <c r="D109" i="5"/>
  <c r="C109" i="5"/>
  <c r="B109" i="5"/>
  <c r="A109" i="5"/>
  <c r="H108" i="5"/>
  <c r="G108" i="5"/>
  <c r="F108" i="5"/>
  <c r="E108" i="5"/>
  <c r="D108" i="5"/>
  <c r="C108" i="5"/>
  <c r="B108" i="5"/>
  <c r="A108" i="5"/>
  <c r="H107" i="5"/>
  <c r="G107" i="5"/>
  <c r="F107" i="5"/>
  <c r="E107" i="5"/>
  <c r="D107" i="5"/>
  <c r="C107" i="5"/>
  <c r="B107" i="5"/>
  <c r="A107" i="5"/>
  <c r="H106" i="5"/>
  <c r="G106" i="5"/>
  <c r="F106" i="5"/>
  <c r="E106" i="5"/>
  <c r="D106" i="5"/>
  <c r="C106" i="5"/>
  <c r="B106" i="5"/>
  <c r="A106" i="5"/>
  <c r="H105" i="5"/>
  <c r="G105" i="5"/>
  <c r="F105" i="5"/>
  <c r="E105" i="5"/>
  <c r="D105" i="5"/>
  <c r="C105" i="5"/>
  <c r="B105" i="5"/>
  <c r="A105" i="5"/>
  <c r="H104" i="5"/>
  <c r="G104" i="5"/>
  <c r="F104" i="5"/>
  <c r="E104" i="5"/>
  <c r="D104" i="5"/>
  <c r="C104" i="5"/>
  <c r="B104" i="5"/>
  <c r="A104" i="5"/>
  <c r="H103" i="5"/>
  <c r="G103" i="5"/>
  <c r="F103" i="5"/>
  <c r="E103" i="5"/>
  <c r="D103" i="5"/>
  <c r="C103" i="5"/>
  <c r="B103" i="5"/>
  <c r="A103" i="5"/>
  <c r="H102" i="5"/>
  <c r="G102" i="5"/>
  <c r="F102" i="5"/>
  <c r="E102" i="5"/>
  <c r="D102" i="5"/>
  <c r="C102" i="5"/>
  <c r="B102" i="5"/>
  <c r="A102" i="5"/>
  <c r="H101" i="5"/>
  <c r="G101" i="5"/>
  <c r="F101" i="5"/>
  <c r="E101" i="5"/>
  <c r="D101" i="5"/>
  <c r="C101" i="5"/>
  <c r="B101" i="5"/>
  <c r="A101" i="5"/>
  <c r="H100" i="5"/>
  <c r="G100" i="5"/>
  <c r="F100" i="5"/>
  <c r="E100" i="5"/>
  <c r="D100" i="5"/>
  <c r="C100" i="5"/>
  <c r="B100" i="5"/>
  <c r="A100" i="5"/>
  <c r="H99" i="5"/>
  <c r="G99" i="5"/>
  <c r="F99" i="5"/>
  <c r="E99" i="5"/>
  <c r="D99" i="5"/>
  <c r="C99" i="5"/>
  <c r="B99" i="5"/>
  <c r="A99" i="5"/>
  <c r="H98" i="5"/>
  <c r="G98" i="5"/>
  <c r="F98" i="5"/>
  <c r="E98" i="5"/>
  <c r="D98" i="5"/>
  <c r="C98" i="5"/>
  <c r="B98" i="5"/>
  <c r="A98" i="5"/>
  <c r="H97" i="5"/>
  <c r="G97" i="5"/>
  <c r="F97" i="5"/>
  <c r="E97" i="5"/>
  <c r="D97" i="5"/>
  <c r="C97" i="5"/>
  <c r="B97" i="5"/>
  <c r="A97" i="5"/>
  <c r="H96" i="5"/>
  <c r="G96" i="5"/>
  <c r="F96" i="5"/>
  <c r="E96" i="5"/>
  <c r="D96" i="5"/>
  <c r="C96" i="5"/>
  <c r="B96" i="5"/>
  <c r="A96" i="5"/>
  <c r="H95" i="5"/>
  <c r="G95" i="5"/>
  <c r="F95" i="5"/>
  <c r="E95" i="5"/>
  <c r="D95" i="5"/>
  <c r="C95" i="5"/>
  <c r="B95" i="5"/>
  <c r="A95" i="5"/>
  <c r="H94" i="5"/>
  <c r="G94" i="5"/>
  <c r="F94" i="5"/>
  <c r="E94" i="5"/>
  <c r="D94" i="5"/>
  <c r="C94" i="5"/>
  <c r="B94" i="5"/>
  <c r="A94" i="5"/>
  <c r="H93" i="5"/>
  <c r="G93" i="5"/>
  <c r="F93" i="5"/>
  <c r="E93" i="5"/>
  <c r="D93" i="5"/>
  <c r="C93" i="5"/>
  <c r="B93" i="5"/>
  <c r="A93" i="5"/>
  <c r="H92" i="5"/>
  <c r="G92" i="5"/>
  <c r="F92" i="5"/>
  <c r="E92" i="5"/>
  <c r="D92" i="5"/>
  <c r="C92" i="5"/>
  <c r="B92" i="5"/>
  <c r="A92" i="5"/>
  <c r="H91" i="5"/>
  <c r="G91" i="5"/>
  <c r="F91" i="5"/>
  <c r="E91" i="5"/>
  <c r="D91" i="5"/>
  <c r="C91" i="5"/>
  <c r="B91" i="5"/>
  <c r="A91" i="5"/>
  <c r="H90" i="5"/>
  <c r="G90" i="5"/>
  <c r="F90" i="5"/>
  <c r="E90" i="5"/>
  <c r="D90" i="5"/>
  <c r="C90" i="5"/>
  <c r="B90" i="5"/>
  <c r="A90" i="5"/>
  <c r="H89" i="5"/>
  <c r="G89" i="5"/>
  <c r="F89" i="5"/>
  <c r="E89" i="5"/>
  <c r="D89" i="5"/>
  <c r="C89" i="5"/>
  <c r="B89" i="5"/>
  <c r="A89" i="5"/>
  <c r="H88" i="5"/>
  <c r="G88" i="5"/>
  <c r="F88" i="5"/>
  <c r="E88" i="5"/>
  <c r="D88" i="5"/>
  <c r="C88" i="5"/>
  <c r="B88" i="5"/>
  <c r="A88" i="5"/>
  <c r="H87" i="5"/>
  <c r="G87" i="5"/>
  <c r="F87" i="5"/>
  <c r="E87" i="5"/>
  <c r="D87" i="5"/>
  <c r="C87" i="5"/>
  <c r="B87" i="5"/>
  <c r="A87" i="5"/>
  <c r="H86" i="5"/>
  <c r="G86" i="5"/>
  <c r="F86" i="5"/>
  <c r="E86" i="5"/>
  <c r="D86" i="5"/>
  <c r="C86" i="5"/>
  <c r="B86" i="5"/>
  <c r="A86" i="5"/>
  <c r="H85" i="5"/>
  <c r="G85" i="5"/>
  <c r="F85" i="5"/>
  <c r="E85" i="5"/>
  <c r="D85" i="5"/>
  <c r="C85" i="5"/>
  <c r="B85" i="5"/>
  <c r="A85" i="5"/>
  <c r="H84" i="5"/>
  <c r="G84" i="5"/>
  <c r="F84" i="5"/>
  <c r="E84" i="5"/>
  <c r="D84" i="5"/>
  <c r="C84" i="5"/>
  <c r="B84" i="5"/>
  <c r="A84" i="5"/>
  <c r="H83" i="5"/>
  <c r="G83" i="5"/>
  <c r="F83" i="5"/>
  <c r="E83" i="5"/>
  <c r="D83" i="5"/>
  <c r="C83" i="5"/>
  <c r="B83" i="5"/>
  <c r="A83" i="5"/>
  <c r="H82" i="5"/>
  <c r="G82" i="5"/>
  <c r="F82" i="5"/>
  <c r="E82" i="5"/>
  <c r="D82" i="5"/>
  <c r="C82" i="5"/>
  <c r="B82" i="5"/>
  <c r="A82" i="5"/>
  <c r="H81" i="5"/>
  <c r="G81" i="5"/>
  <c r="F81" i="5"/>
  <c r="E81" i="5"/>
  <c r="D81" i="5"/>
  <c r="C81" i="5"/>
  <c r="B81" i="5"/>
  <c r="A81" i="5"/>
  <c r="H80" i="5"/>
  <c r="G80" i="5"/>
  <c r="F80" i="5"/>
  <c r="E80" i="5"/>
  <c r="D80" i="5"/>
  <c r="C80" i="5"/>
  <c r="B80" i="5"/>
  <c r="A80" i="5"/>
  <c r="H79" i="5"/>
  <c r="G79" i="5"/>
  <c r="F79" i="5"/>
  <c r="E79" i="5"/>
  <c r="D79" i="5"/>
  <c r="C79" i="5"/>
  <c r="B79" i="5"/>
  <c r="A79" i="5"/>
  <c r="H78" i="5"/>
  <c r="G78" i="5"/>
  <c r="F78" i="5"/>
  <c r="E78" i="5"/>
  <c r="D78" i="5"/>
  <c r="C78" i="5"/>
  <c r="B78" i="5"/>
  <c r="A78" i="5"/>
  <c r="H77" i="5"/>
  <c r="G77" i="5"/>
  <c r="F77" i="5"/>
  <c r="E77" i="5"/>
  <c r="D77" i="5"/>
  <c r="C77" i="5"/>
  <c r="B77" i="5"/>
  <c r="A77" i="5"/>
  <c r="H76" i="5"/>
  <c r="G76" i="5"/>
  <c r="F76" i="5"/>
  <c r="E76" i="5"/>
  <c r="D76" i="5"/>
  <c r="C76" i="5"/>
  <c r="B76" i="5"/>
  <c r="A76" i="5"/>
  <c r="H75" i="5"/>
  <c r="G75" i="5"/>
  <c r="F75" i="5"/>
  <c r="E75" i="5"/>
  <c r="D75" i="5"/>
  <c r="C75" i="5"/>
  <c r="B75" i="5"/>
  <c r="A75" i="5"/>
  <c r="H74" i="5"/>
  <c r="G74" i="5"/>
  <c r="F74" i="5"/>
  <c r="E74" i="5"/>
  <c r="D74" i="5"/>
  <c r="C74" i="5"/>
  <c r="B74" i="5"/>
  <c r="A74" i="5"/>
  <c r="H73" i="5"/>
  <c r="G73" i="5"/>
  <c r="F73" i="5"/>
  <c r="E73" i="5"/>
  <c r="D73" i="5"/>
  <c r="C73" i="5"/>
  <c r="B73" i="5"/>
  <c r="A73" i="5"/>
  <c r="H72" i="5"/>
  <c r="G72" i="5"/>
  <c r="F72" i="5"/>
  <c r="E72" i="5"/>
  <c r="D72" i="5"/>
  <c r="C72" i="5"/>
  <c r="B72" i="5"/>
  <c r="A72" i="5"/>
  <c r="H71" i="5"/>
  <c r="G71" i="5"/>
  <c r="F71" i="5"/>
  <c r="E71" i="5"/>
  <c r="D71" i="5"/>
  <c r="C71" i="5"/>
  <c r="B71" i="5"/>
  <c r="A71" i="5"/>
  <c r="H70" i="5"/>
  <c r="G70" i="5"/>
  <c r="F70" i="5"/>
  <c r="E70" i="5"/>
  <c r="D70" i="5"/>
  <c r="C70" i="5"/>
  <c r="B70" i="5"/>
  <c r="A70" i="5"/>
  <c r="H69" i="5"/>
  <c r="G69" i="5"/>
  <c r="F69" i="5"/>
  <c r="E69" i="5"/>
  <c r="D69" i="5"/>
  <c r="C69" i="5"/>
  <c r="B69" i="5"/>
  <c r="A69" i="5"/>
  <c r="H68" i="5"/>
  <c r="G68" i="5"/>
  <c r="F68" i="5"/>
  <c r="E68" i="5"/>
  <c r="D68" i="5"/>
  <c r="C68" i="5"/>
  <c r="B68" i="5"/>
  <c r="A68" i="5"/>
  <c r="H67" i="5"/>
  <c r="G67" i="5"/>
  <c r="F67" i="5"/>
  <c r="E67" i="5"/>
  <c r="D67" i="5"/>
  <c r="C67" i="5"/>
  <c r="B67" i="5"/>
  <c r="A67" i="5"/>
  <c r="H66" i="5"/>
  <c r="G66" i="5"/>
  <c r="F66" i="5"/>
  <c r="E66" i="5"/>
  <c r="D66" i="5"/>
  <c r="C66" i="5"/>
  <c r="B66" i="5"/>
  <c r="A66" i="5"/>
  <c r="H65" i="5"/>
  <c r="G65" i="5"/>
  <c r="F65" i="5"/>
  <c r="E65" i="5"/>
  <c r="D65" i="5"/>
  <c r="C65" i="5"/>
  <c r="B65" i="5"/>
  <c r="A65" i="5"/>
  <c r="H64" i="5"/>
  <c r="G64" i="5"/>
  <c r="F64" i="5"/>
  <c r="E64" i="5"/>
  <c r="D64" i="5"/>
  <c r="C64" i="5"/>
  <c r="B64" i="5"/>
  <c r="A64" i="5"/>
  <c r="H63" i="5"/>
  <c r="G63" i="5"/>
  <c r="F63" i="5"/>
  <c r="E63" i="5"/>
  <c r="D63" i="5"/>
  <c r="C63" i="5"/>
  <c r="B63" i="5"/>
  <c r="A63" i="5"/>
  <c r="H62" i="5"/>
  <c r="G62" i="5"/>
  <c r="F62" i="5"/>
  <c r="E62" i="5"/>
  <c r="D62" i="5"/>
  <c r="C62" i="5"/>
  <c r="B62" i="5"/>
  <c r="A62" i="5"/>
  <c r="H61" i="5"/>
  <c r="G61" i="5"/>
  <c r="F61" i="5"/>
  <c r="E61" i="5"/>
  <c r="D61" i="5"/>
  <c r="C61" i="5"/>
  <c r="B61" i="5"/>
  <c r="A61" i="5"/>
  <c r="H60" i="5"/>
  <c r="G60" i="5"/>
  <c r="F60" i="5"/>
  <c r="E60" i="5"/>
  <c r="D60" i="5"/>
  <c r="C60" i="5"/>
  <c r="B60" i="5"/>
  <c r="A60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A58" i="5"/>
  <c r="H57" i="5"/>
  <c r="G57" i="5"/>
  <c r="F57" i="5"/>
  <c r="E57" i="5"/>
  <c r="D57" i="5"/>
  <c r="C57" i="5"/>
  <c r="B57" i="5"/>
  <c r="A57" i="5"/>
  <c r="H56" i="5"/>
  <c r="G56" i="5"/>
  <c r="F56" i="5"/>
  <c r="E56" i="5"/>
  <c r="D56" i="5"/>
  <c r="C56" i="5"/>
  <c r="B56" i="5"/>
  <c r="A56" i="5"/>
  <c r="H55" i="5"/>
  <c r="G55" i="5"/>
  <c r="F55" i="5"/>
  <c r="E55" i="5"/>
  <c r="D55" i="5"/>
  <c r="C55" i="5"/>
  <c r="B55" i="5"/>
  <c r="A55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A53" i="5"/>
  <c r="H52" i="5"/>
  <c r="G52" i="5"/>
  <c r="F52" i="5"/>
  <c r="E52" i="5"/>
  <c r="D52" i="5"/>
  <c r="C52" i="5"/>
  <c r="B52" i="5"/>
  <c r="A52" i="5"/>
  <c r="H51" i="5"/>
  <c r="G51" i="5"/>
  <c r="F51" i="5"/>
  <c r="E51" i="5"/>
  <c r="D51" i="5"/>
  <c r="C51" i="5"/>
  <c r="B51" i="5"/>
  <c r="A51" i="5"/>
  <c r="H50" i="5"/>
  <c r="G50" i="5"/>
  <c r="F50" i="5"/>
  <c r="E50" i="5"/>
  <c r="D50" i="5"/>
  <c r="C50" i="5"/>
  <c r="B50" i="5"/>
  <c r="A50" i="5"/>
  <c r="H49" i="5"/>
  <c r="G49" i="5"/>
  <c r="F49" i="5"/>
  <c r="E49" i="5"/>
  <c r="D49" i="5"/>
  <c r="C49" i="5"/>
  <c r="B49" i="5"/>
  <c r="A49" i="5"/>
  <c r="H48" i="5"/>
  <c r="G48" i="5"/>
  <c r="F48" i="5"/>
  <c r="E48" i="5"/>
  <c r="D48" i="5"/>
  <c r="C48" i="5"/>
  <c r="B48" i="5"/>
  <c r="A48" i="5"/>
  <c r="H47" i="5"/>
  <c r="G47" i="5"/>
  <c r="F47" i="5"/>
  <c r="E47" i="5"/>
  <c r="D47" i="5"/>
  <c r="C47" i="5"/>
  <c r="B47" i="5"/>
  <c r="A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A45" i="5"/>
  <c r="H44" i="5"/>
  <c r="G44" i="5"/>
  <c r="F44" i="5"/>
  <c r="E44" i="5"/>
  <c r="D44" i="5"/>
  <c r="C44" i="5"/>
  <c r="B44" i="5"/>
  <c r="A44" i="5"/>
  <c r="H43" i="5"/>
  <c r="G43" i="5"/>
  <c r="F43" i="5"/>
  <c r="E43" i="5"/>
  <c r="D43" i="5"/>
  <c r="C43" i="5"/>
  <c r="B43" i="5"/>
  <c r="A43" i="5"/>
  <c r="H42" i="5"/>
  <c r="G42" i="5"/>
  <c r="F42" i="5"/>
  <c r="E42" i="5"/>
  <c r="D42" i="5"/>
  <c r="C42" i="5"/>
  <c r="B42" i="5"/>
  <c r="A42" i="5"/>
  <c r="H41" i="5"/>
  <c r="G41" i="5"/>
  <c r="F41" i="5"/>
  <c r="E41" i="5"/>
  <c r="D41" i="5"/>
  <c r="C41" i="5"/>
  <c r="B41" i="5"/>
  <c r="A41" i="5"/>
  <c r="H40" i="5"/>
  <c r="G40" i="5"/>
  <c r="F40" i="5"/>
  <c r="E40" i="5"/>
  <c r="D40" i="5"/>
  <c r="C40" i="5"/>
  <c r="B40" i="5"/>
  <c r="A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A37" i="5"/>
  <c r="H36" i="5"/>
  <c r="G36" i="5"/>
  <c r="F36" i="5"/>
  <c r="E36" i="5"/>
  <c r="D36" i="5"/>
  <c r="C36" i="5"/>
  <c r="B36" i="5"/>
  <c r="A36" i="5"/>
  <c r="H35" i="5"/>
  <c r="G35" i="5"/>
  <c r="F35" i="5"/>
  <c r="E35" i="5"/>
  <c r="D35" i="5"/>
  <c r="C35" i="5"/>
  <c r="B35" i="5"/>
  <c r="A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A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A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A20" i="5"/>
  <c r="H19" i="5"/>
  <c r="G19" i="5"/>
  <c r="F19" i="5"/>
  <c r="E19" i="5"/>
  <c r="D19" i="5"/>
  <c r="C19" i="5"/>
  <c r="B19" i="5"/>
  <c r="A19" i="5"/>
  <c r="H18" i="5"/>
  <c r="G18" i="5"/>
  <c r="F18" i="5"/>
  <c r="E18" i="5"/>
  <c r="D18" i="5"/>
  <c r="C18" i="5"/>
  <c r="B18" i="5"/>
  <c r="A18" i="5"/>
  <c r="H17" i="5"/>
  <c r="G17" i="5"/>
  <c r="F17" i="5"/>
  <c r="E17" i="5"/>
  <c r="D17" i="5"/>
  <c r="C17" i="5"/>
  <c r="B17" i="5"/>
  <c r="A17" i="5"/>
  <c r="H16" i="5"/>
  <c r="G16" i="5"/>
  <c r="F16" i="5"/>
  <c r="E16" i="5"/>
  <c r="D16" i="5"/>
  <c r="C16" i="5"/>
  <c r="B16" i="5"/>
  <c r="A16" i="5"/>
  <c r="H15" i="5"/>
  <c r="G15" i="5"/>
  <c r="F15" i="5"/>
  <c r="E15" i="5"/>
  <c r="D15" i="5"/>
  <c r="C15" i="5"/>
  <c r="B15" i="5"/>
  <c r="A15" i="5"/>
  <c r="H14" i="5"/>
  <c r="G14" i="5"/>
  <c r="F14" i="5"/>
  <c r="E14" i="5"/>
  <c r="D14" i="5"/>
  <c r="C14" i="5"/>
  <c r="B14" i="5"/>
  <c r="A14" i="5"/>
  <c r="H13" i="5"/>
  <c r="G13" i="5"/>
  <c r="F13" i="5"/>
  <c r="E13" i="5"/>
  <c r="D13" i="5"/>
  <c r="C13" i="5"/>
  <c r="B13" i="5"/>
  <c r="A13" i="5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11" i="5"/>
  <c r="H10" i="5"/>
  <c r="G10" i="5"/>
  <c r="F10" i="5"/>
  <c r="E10" i="5"/>
  <c r="D10" i="5"/>
  <c r="C10" i="5"/>
  <c r="B10" i="5"/>
  <c r="A10" i="5"/>
  <c r="H9" i="5"/>
  <c r="G9" i="5"/>
  <c r="F9" i="5"/>
  <c r="E9" i="5"/>
  <c r="D9" i="5"/>
  <c r="C9" i="5"/>
  <c r="B9" i="5"/>
  <c r="A9" i="5"/>
  <c r="H8" i="5"/>
  <c r="G8" i="5"/>
  <c r="F8" i="5"/>
  <c r="E8" i="5"/>
  <c r="D8" i="5"/>
  <c r="C8" i="5"/>
  <c r="B8" i="5"/>
  <c r="A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H5" i="5"/>
  <c r="G5" i="5"/>
  <c r="F5" i="5"/>
  <c r="E5" i="5"/>
  <c r="D5" i="5"/>
  <c r="C5" i="5"/>
  <c r="B5" i="5"/>
  <c r="A5" i="5"/>
  <c r="H4" i="5"/>
  <c r="G4" i="5"/>
  <c r="F4" i="5"/>
  <c r="E4" i="5"/>
  <c r="D4" i="5"/>
  <c r="C4" i="5"/>
  <c r="B4" i="5"/>
  <c r="A4" i="5"/>
  <c r="G155" i="6" l="1"/>
  <c r="H155" i="6" s="1"/>
  <c r="G176" i="6"/>
  <c r="H176" i="6" s="1"/>
  <c r="G226" i="6"/>
  <c r="H226" i="6" s="1"/>
  <c r="G50" i="6"/>
  <c r="H50" i="6" s="1"/>
  <c r="G61" i="6"/>
  <c r="H61" i="6" s="1"/>
  <c r="G66" i="6"/>
  <c r="H66" i="6" s="1"/>
  <c r="G80" i="6"/>
  <c r="H80" i="6" s="1"/>
  <c r="G111" i="6"/>
  <c r="H111" i="6" s="1"/>
  <c r="G119" i="6"/>
  <c r="H119" i="6" s="1"/>
  <c r="G207" i="6"/>
  <c r="H207" i="6" s="1"/>
  <c r="G264" i="6"/>
  <c r="H264" i="6" s="1"/>
  <c r="G140" i="6"/>
  <c r="H140" i="6" s="1"/>
  <c r="G240" i="6"/>
  <c r="H240" i="6" s="1"/>
  <c r="G30" i="6"/>
  <c r="H30" i="6" s="1"/>
  <c r="G35" i="6"/>
  <c r="H35" i="6" s="1"/>
  <c r="G37" i="6"/>
  <c r="H37" i="6" s="1"/>
  <c r="G65" i="6"/>
  <c r="H65" i="6" s="1"/>
  <c r="G101" i="6"/>
  <c r="H101" i="6" s="1"/>
  <c r="G132" i="6"/>
  <c r="H132" i="6" s="1"/>
  <c r="G23" i="6"/>
  <c r="H23" i="6" s="1"/>
  <c r="G117" i="6"/>
  <c r="H117" i="6" s="1"/>
  <c r="G149" i="6"/>
  <c r="H149" i="6" s="1"/>
  <c r="G180" i="6"/>
  <c r="H180" i="6" s="1"/>
  <c r="G137" i="6"/>
  <c r="H137" i="6" s="1"/>
  <c r="G24" i="6"/>
  <c r="H24" i="6" s="1"/>
  <c r="G217" i="6"/>
  <c r="H217" i="6" s="1"/>
  <c r="G79" i="6"/>
  <c r="H79" i="6" s="1"/>
  <c r="G71" i="6"/>
  <c r="H71" i="6" s="1"/>
  <c r="G93" i="6"/>
  <c r="H93" i="6" s="1"/>
  <c r="G124" i="6"/>
  <c r="H124" i="6" s="1"/>
  <c r="G74" i="6"/>
  <c r="H74" i="6" s="1"/>
  <c r="G235" i="6"/>
  <c r="H235" i="6" s="1"/>
  <c r="G15" i="6"/>
  <c r="H15" i="6" s="1"/>
  <c r="G103" i="6"/>
  <c r="H103" i="6" s="1"/>
  <c r="G5" i="6"/>
  <c r="H5" i="6" s="1"/>
  <c r="G183" i="6"/>
  <c r="H183" i="6" s="1"/>
  <c r="G266" i="6"/>
  <c r="H266" i="6" s="1"/>
  <c r="G151" i="6"/>
  <c r="H151" i="6" s="1"/>
  <c r="G280" i="6"/>
  <c r="H280" i="6" s="1"/>
  <c r="G59" i="6"/>
  <c r="H59" i="6" s="1"/>
  <c r="G128" i="6"/>
  <c r="H128" i="6" s="1"/>
  <c r="G136" i="6"/>
  <c r="H136" i="6" s="1"/>
  <c r="G123" i="6"/>
  <c r="H123" i="6" s="1"/>
  <c r="G292" i="6"/>
  <c r="H292" i="6" s="1"/>
  <c r="G299" i="6"/>
  <c r="H299" i="6" s="1"/>
  <c r="G22" i="6"/>
  <c r="H22" i="6" s="1"/>
  <c r="G270" i="6"/>
  <c r="H270" i="6" s="1"/>
  <c r="G7" i="6"/>
  <c r="H7" i="6" s="1"/>
  <c r="G77" i="6"/>
  <c r="H77" i="6" s="1"/>
  <c r="G58" i="6"/>
  <c r="H58" i="6" s="1"/>
  <c r="G121" i="6"/>
  <c r="H121" i="6" s="1"/>
  <c r="G295" i="6"/>
  <c r="H295" i="6" s="1"/>
  <c r="G62" i="6"/>
  <c r="H62" i="6" s="1"/>
  <c r="G70" i="6"/>
  <c r="H70" i="6" s="1"/>
  <c r="G89" i="6"/>
  <c r="H89" i="6" s="1"/>
  <c r="G116" i="6"/>
  <c r="H116" i="6" s="1"/>
  <c r="G216" i="6"/>
  <c r="H216" i="6" s="1"/>
  <c r="G229" i="6"/>
  <c r="H229" i="6" s="1"/>
  <c r="G268" i="6"/>
  <c r="H268" i="6" s="1"/>
  <c r="G16" i="6"/>
  <c r="H16" i="6" s="1"/>
  <c r="G143" i="6"/>
  <c r="H143" i="6" s="1"/>
  <c r="G157" i="6"/>
  <c r="H157" i="6" s="1"/>
  <c r="G164" i="6"/>
  <c r="H164" i="6" s="1"/>
  <c r="G174" i="6"/>
  <c r="H174" i="6" s="1"/>
  <c r="G197" i="6"/>
  <c r="H197" i="6" s="1"/>
  <c r="G204" i="6"/>
  <c r="H204" i="6" s="1"/>
  <c r="G60" i="6"/>
  <c r="H60" i="6" s="1"/>
  <c r="G213" i="6"/>
  <c r="H213" i="6" s="1"/>
  <c r="G238" i="6"/>
  <c r="H238" i="6" s="1"/>
  <c r="G262" i="6"/>
  <c r="H262" i="6" s="1"/>
  <c r="G298" i="6"/>
  <c r="H298" i="6" s="1"/>
  <c r="G302" i="6"/>
  <c r="H302" i="6" s="1"/>
  <c r="G245" i="6"/>
  <c r="H245" i="6" s="1"/>
  <c r="G68" i="6"/>
  <c r="H68" i="6" s="1"/>
  <c r="G104" i="6"/>
  <c r="H104" i="6" s="1"/>
  <c r="G134" i="6"/>
  <c r="H134" i="6" s="1"/>
  <c r="G220" i="6"/>
  <c r="H220" i="6" s="1"/>
  <c r="G291" i="6"/>
  <c r="H291" i="6" s="1"/>
  <c r="G3" i="6"/>
  <c r="H3" i="6" s="1"/>
  <c r="G158" i="6"/>
  <c r="H158" i="6" s="1"/>
  <c r="G173" i="6"/>
  <c r="H173" i="6" s="1"/>
  <c r="G182" i="6"/>
  <c r="H182" i="6" s="1"/>
  <c r="G200" i="6"/>
  <c r="H200" i="6" s="1"/>
  <c r="G208" i="6"/>
  <c r="H208" i="6" s="1"/>
  <c r="G271" i="6"/>
  <c r="H271" i="6" s="1"/>
  <c r="G279" i="6"/>
  <c r="H279" i="6" s="1"/>
  <c r="G90" i="6"/>
  <c r="H90" i="6" s="1"/>
  <c r="G97" i="6"/>
  <c r="H97" i="6" s="1"/>
  <c r="G105" i="6"/>
  <c r="H105" i="6" s="1"/>
  <c r="G122" i="6"/>
  <c r="H122" i="6" s="1"/>
  <c r="G129" i="6"/>
  <c r="H129" i="6" s="1"/>
  <c r="G215" i="6"/>
  <c r="H215" i="6" s="1"/>
  <c r="G222" i="6"/>
  <c r="H222" i="6" s="1"/>
  <c r="G230" i="6"/>
  <c r="H230" i="6" s="1"/>
  <c r="G6" i="6"/>
  <c r="H6" i="6" s="1"/>
  <c r="G12" i="6"/>
  <c r="H12" i="6" s="1"/>
  <c r="G29" i="6"/>
  <c r="H29" i="6" s="1"/>
  <c r="G46" i="6"/>
  <c r="H46" i="6" s="1"/>
  <c r="G54" i="6"/>
  <c r="H54" i="6" s="1"/>
  <c r="G147" i="6"/>
  <c r="H147" i="6" s="1"/>
  <c r="G170" i="6"/>
  <c r="H170" i="6" s="1"/>
  <c r="G191" i="6"/>
  <c r="H191" i="6" s="1"/>
  <c r="G202" i="6"/>
  <c r="H202" i="6" s="1"/>
  <c r="G247" i="6"/>
  <c r="H247" i="6" s="1"/>
  <c r="G301" i="6"/>
  <c r="H301" i="6" s="1"/>
  <c r="G288" i="6"/>
  <c r="H288" i="6" s="1"/>
  <c r="G303" i="6"/>
  <c r="H303" i="6" s="1"/>
  <c r="G4" i="6"/>
  <c r="H4" i="6" s="1"/>
  <c r="G13" i="6"/>
  <c r="H13" i="6" s="1"/>
  <c r="G49" i="6"/>
  <c r="H49" i="6" s="1"/>
  <c r="G57" i="6"/>
  <c r="H57" i="6" s="1"/>
  <c r="G73" i="6"/>
  <c r="H73" i="6" s="1"/>
  <c r="G81" i="6"/>
  <c r="H81" i="6" s="1"/>
  <c r="G141" i="6"/>
  <c r="H141" i="6" s="1"/>
  <c r="G150" i="6"/>
  <c r="H150" i="6" s="1"/>
  <c r="G168" i="6"/>
  <c r="H168" i="6" s="1"/>
  <c r="G184" i="6"/>
  <c r="H184" i="6" s="1"/>
  <c r="G194" i="6"/>
  <c r="H194" i="6" s="1"/>
  <c r="G199" i="6"/>
  <c r="H199" i="6" s="1"/>
  <c r="G244" i="6"/>
  <c r="H244" i="6" s="1"/>
  <c r="G272" i="6"/>
  <c r="H272" i="6" s="1"/>
  <c r="G281" i="6"/>
  <c r="H281" i="6" s="1"/>
  <c r="G290" i="6"/>
  <c r="H290" i="6" s="1"/>
  <c r="G25" i="6"/>
  <c r="H25" i="6" s="1"/>
  <c r="G33" i="6"/>
  <c r="H33" i="6" s="1"/>
  <c r="G94" i="6"/>
  <c r="H94" i="6" s="1"/>
  <c r="G102" i="6"/>
  <c r="H102" i="6" s="1"/>
  <c r="G162" i="6"/>
  <c r="H162" i="6" s="1"/>
  <c r="G185" i="6"/>
  <c r="H185" i="6" s="1"/>
  <c r="G221" i="6"/>
  <c r="H221" i="6" s="1"/>
  <c r="G254" i="6"/>
  <c r="H254" i="6" s="1"/>
  <c r="G269" i="6"/>
  <c r="H269" i="6" s="1"/>
  <c r="G287" i="6"/>
  <c r="H287" i="6" s="1"/>
  <c r="G28" i="6"/>
  <c r="H28" i="6" s="1"/>
  <c r="G36" i="6"/>
  <c r="H36" i="6" s="1"/>
  <c r="G48" i="6"/>
  <c r="H48" i="6" s="1"/>
  <c r="G85" i="6"/>
  <c r="H85" i="6" s="1"/>
  <c r="G95" i="6"/>
  <c r="H95" i="6" s="1"/>
  <c r="G167" i="6"/>
  <c r="H167" i="6" s="1"/>
  <c r="G190" i="6"/>
  <c r="H190" i="6" s="1"/>
  <c r="G232" i="6"/>
  <c r="H232" i="6" s="1"/>
  <c r="G294" i="6"/>
  <c r="H294" i="6" s="1"/>
  <c r="G17" i="6"/>
  <c r="H17" i="6" s="1"/>
  <c r="G138" i="6"/>
  <c r="H138" i="6" s="1"/>
  <c r="G56" i="6"/>
  <c r="H56" i="6" s="1"/>
  <c r="G203" i="6"/>
  <c r="H203" i="6" s="1"/>
  <c r="B11" i="4"/>
  <c r="B12" i="4" s="1"/>
  <c r="G31" i="6"/>
  <c r="H31" i="6" s="1"/>
  <c r="G115" i="6"/>
  <c r="H115" i="6" s="1"/>
  <c r="G120" i="6"/>
  <c r="H120" i="6" s="1"/>
  <c r="G145" i="6"/>
  <c r="H145" i="6" s="1"/>
  <c r="G178" i="6"/>
  <c r="H178" i="6" s="1"/>
  <c r="G219" i="6"/>
  <c r="H219" i="6" s="1"/>
  <c r="G265" i="6"/>
  <c r="H265" i="6" s="1"/>
  <c r="G300" i="6"/>
  <c r="H300" i="6" s="1"/>
  <c r="G40" i="6"/>
  <c r="H40" i="6" s="1"/>
  <c r="G64" i="6"/>
  <c r="H64" i="6" s="1"/>
  <c r="G88" i="6"/>
  <c r="H88" i="6" s="1"/>
  <c r="G112" i="6"/>
  <c r="H112" i="6" s="1"/>
  <c r="G130" i="6"/>
  <c r="H130" i="6" s="1"/>
  <c r="G153" i="6"/>
  <c r="H153" i="6" s="1"/>
  <c r="G161" i="6"/>
  <c r="H161" i="6" s="1"/>
  <c r="G192" i="6"/>
  <c r="H192" i="6" s="1"/>
  <c r="G210" i="6"/>
  <c r="H210" i="6" s="1"/>
  <c r="G227" i="6"/>
  <c r="H227" i="6" s="1"/>
  <c r="G239" i="6"/>
  <c r="H239" i="6" s="1"/>
  <c r="G252" i="6"/>
  <c r="H252" i="6" s="1"/>
  <c r="G69" i="6"/>
  <c r="H69" i="6" s="1"/>
  <c r="G78" i="6"/>
  <c r="H78" i="6" s="1"/>
  <c r="G113" i="6"/>
  <c r="H113" i="6" s="1"/>
  <c r="G126" i="6"/>
  <c r="H126" i="6" s="1"/>
  <c r="G131" i="6"/>
  <c r="H131" i="6" s="1"/>
  <c r="G148" i="6"/>
  <c r="H148" i="6" s="1"/>
  <c r="G177" i="6"/>
  <c r="H177" i="6" s="1"/>
  <c r="G181" i="6"/>
  <c r="H181" i="6" s="1"/>
  <c r="G206" i="6"/>
  <c r="H206" i="6" s="1"/>
  <c r="G248" i="6"/>
  <c r="H248" i="6" s="1"/>
  <c r="G284" i="6"/>
  <c r="H284" i="6" s="1"/>
  <c r="G241" i="6"/>
  <c r="H241" i="6" s="1"/>
  <c r="G260" i="6"/>
  <c r="H260" i="6" s="1"/>
  <c r="G169" i="6"/>
  <c r="H169" i="6" s="1"/>
  <c r="G308" i="6"/>
  <c r="H308" i="6" s="1"/>
  <c r="G32" i="6"/>
  <c r="H32" i="6" s="1"/>
  <c r="G100" i="6"/>
  <c r="H100" i="6" s="1"/>
  <c r="G118" i="6"/>
  <c r="H118" i="6" s="1"/>
  <c r="G163" i="6"/>
  <c r="H163" i="6" s="1"/>
  <c r="G249" i="6"/>
  <c r="H249" i="6" s="1"/>
  <c r="G275" i="6"/>
  <c r="H275" i="6" s="1"/>
  <c r="G52" i="6"/>
  <c r="H52" i="6" s="1"/>
  <c r="G98" i="6"/>
  <c r="H98" i="6" s="1"/>
  <c r="G63" i="6"/>
  <c r="H63" i="6" s="1"/>
  <c r="G84" i="6"/>
  <c r="H84" i="6" s="1"/>
  <c r="G106" i="6"/>
  <c r="H106" i="6" s="1"/>
  <c r="G127" i="6"/>
  <c r="H127" i="6" s="1"/>
  <c r="G9" i="6"/>
  <c r="H9" i="6" s="1"/>
  <c r="G39" i="6"/>
  <c r="H39" i="6" s="1"/>
  <c r="G154" i="6"/>
  <c r="H154" i="6" s="1"/>
  <c r="G198" i="6"/>
  <c r="H198" i="6" s="1"/>
  <c r="G296" i="6"/>
  <c r="H296" i="6" s="1"/>
  <c r="G307" i="6"/>
  <c r="H307" i="6" s="1"/>
  <c r="G18" i="6"/>
  <c r="H18" i="6" s="1"/>
  <c r="G21" i="6"/>
  <c r="H21" i="6" s="1"/>
  <c r="G83" i="6"/>
  <c r="H83" i="6" s="1"/>
  <c r="G91" i="6"/>
  <c r="H91" i="6" s="1"/>
  <c r="G108" i="6"/>
  <c r="H108" i="6" s="1"/>
  <c r="G152" i="6"/>
  <c r="H152" i="6" s="1"/>
  <c r="G187" i="6"/>
  <c r="H187" i="6" s="1"/>
  <c r="G205" i="6"/>
  <c r="H205" i="6" s="1"/>
  <c r="G273" i="6"/>
  <c r="H273" i="6" s="1"/>
  <c r="G285" i="6"/>
  <c r="H285" i="6" s="1"/>
  <c r="G8" i="6"/>
  <c r="H8" i="6" s="1"/>
  <c r="G286" i="6"/>
  <c r="H286" i="6" s="1"/>
  <c r="G261" i="6"/>
  <c r="H261" i="6" s="1"/>
  <c r="G282" i="6"/>
  <c r="H282" i="6" s="1"/>
  <c r="G67" i="6"/>
  <c r="H67" i="6" s="1"/>
  <c r="G114" i="6"/>
  <c r="H114" i="6" s="1"/>
  <c r="G133" i="6"/>
  <c r="H133" i="6" s="1"/>
  <c r="G11" i="6"/>
  <c r="H11" i="6" s="1"/>
  <c r="G34" i="6"/>
  <c r="H34" i="6" s="1"/>
  <c r="G42" i="6"/>
  <c r="H42" i="6" s="1"/>
  <c r="G47" i="6"/>
  <c r="H47" i="6" s="1"/>
  <c r="G82" i="6"/>
  <c r="H82" i="6" s="1"/>
  <c r="G96" i="6"/>
  <c r="H96" i="6" s="1"/>
  <c r="G107" i="6"/>
  <c r="H107" i="6" s="1"/>
  <c r="G144" i="6"/>
  <c r="H144" i="6" s="1"/>
  <c r="G165" i="6"/>
  <c r="H165" i="6" s="1"/>
  <c r="G188" i="6"/>
  <c r="H188" i="6" s="1"/>
  <c r="G196" i="6"/>
  <c r="H196" i="6" s="1"/>
  <c r="G278" i="6"/>
  <c r="H278" i="6" s="1"/>
  <c r="G305" i="6"/>
  <c r="H305" i="6" s="1"/>
  <c r="G160" i="6"/>
  <c r="H160" i="6" s="1"/>
  <c r="G171" i="6"/>
  <c r="H171" i="6" s="1"/>
  <c r="G223" i="6"/>
  <c r="H223" i="6" s="1"/>
  <c r="G236" i="6"/>
  <c r="H236" i="6" s="1"/>
  <c r="G304" i="6"/>
  <c r="H304" i="6" s="1"/>
  <c r="G224" i="6"/>
  <c r="H224" i="6" s="1"/>
  <c r="G255" i="6"/>
  <c r="H255" i="6" s="1"/>
  <c r="G267" i="6"/>
  <c r="H267" i="6" s="1"/>
  <c r="G142" i="6"/>
  <c r="H142" i="6" s="1"/>
  <c r="G156" i="6"/>
  <c r="H156" i="6" s="1"/>
  <c r="B23" i="4"/>
  <c r="B24" i="4" s="1"/>
  <c r="G253" i="6"/>
  <c r="H253" i="6" s="1"/>
  <c r="G263" i="6"/>
  <c r="H263" i="6" s="1"/>
  <c r="G231" i="6"/>
  <c r="H231" i="6" s="1"/>
  <c r="G257" i="6"/>
  <c r="H257" i="6" s="1"/>
  <c r="G297" i="6"/>
  <c r="H297" i="6" s="1"/>
  <c r="G186" i="6"/>
  <c r="H186" i="6" s="1"/>
  <c r="G218" i="6"/>
  <c r="H218" i="6" s="1"/>
  <c r="G289" i="6"/>
  <c r="H289" i="6" s="1"/>
  <c r="G214" i="6"/>
  <c r="H214" i="6" s="1"/>
  <c r="G228" i="6"/>
  <c r="H228" i="6" s="1"/>
  <c r="G246" i="6"/>
  <c r="H246" i="6" s="1"/>
  <c r="G259" i="6"/>
  <c r="H259" i="6" s="1"/>
  <c r="G276" i="6"/>
  <c r="H276" i="6" s="1"/>
  <c r="G293" i="6"/>
  <c r="H293" i="6" s="1"/>
  <c r="G209" i="6"/>
  <c r="H209" i="6" s="1"/>
  <c r="G225" i="6"/>
  <c r="H225" i="6" s="1"/>
</calcChain>
</file>

<file path=xl/sharedStrings.xml><?xml version="1.0" encoding="utf-8"?>
<sst xmlns="http://schemas.openxmlformats.org/spreadsheetml/2006/main" count="2102" uniqueCount="211">
  <si>
    <t>Multiple Regression Model (For output See row 313 onwards)</t>
  </si>
  <si>
    <t>monthly_sales (Y)</t>
  </si>
  <si>
    <t>marketing_spend (X1)</t>
  </si>
  <si>
    <t>footfall (X2)</t>
  </si>
  <si>
    <t>avg_discount_pct (X3)</t>
  </si>
  <si>
    <t>inventory_avail_pct (X4)</t>
  </si>
  <si>
    <t>store_Airport (X5)</t>
  </si>
  <si>
    <t>store_HighStreet (X6)</t>
  </si>
  <si>
    <t>store_Mall (X7)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</si>
  <si>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</si>
  <si>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</si>
  <si>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</si>
  <si>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</si>
  <si>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</si>
  <si>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</si>
  <si>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</si>
  <si>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</si>
  <si>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</si>
  <si>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</si>
  <si>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</si>
  <si>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</si>
  <si>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</si>
  <si>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</si>
  <si>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Significant?</t>
  </si>
  <si>
    <t>Business Interpretation</t>
  </si>
  <si>
    <t>Intercept</t>
  </si>
  <si>
    <t>SIGNIFICANT</t>
  </si>
  <si>
    <t>Baseline monthly sales for Residential store (all numerics = 0)</t>
  </si>
  <si>
    <t>Each additional $1 in marketing spend → change in monthly sales</t>
  </si>
  <si>
    <t>Each additional customer visit → change in monthly sales</t>
  </si>
  <si>
    <t>NOT SIGNIFICANT</t>
  </si>
  <si>
    <t>Effect of a 1-unit increase in avg discount proportion (not significant)</t>
  </si>
  <si>
    <t>Each 1% improvement in inventory availability → change in monthly sales</t>
  </si>
  <si>
    <t>Airport store vs Residential — monthly sales premium</t>
  </si>
  <si>
    <t>High Street store vs Residential — monthly sales premium</t>
  </si>
  <si>
    <t>Mall store vs Residential — monthly sales premium</t>
  </si>
  <si>
    <t>Equation (formula):</t>
  </si>
  <si>
    <t>monthly_sales = 1,38,186 + 1.1615 x mktg + 33.6050 x footfall + -53521.1295 x avg_disc + 2824.4197 x inv_avail + 36186.2374 x store_Airport + 14366.8146 x store_HStr + 25653.0224 x store_Mall</t>
  </si>
  <si>
    <t>Original Dataset — 320 rows x 14 columns (values only — source of truth)</t>
  </si>
  <si>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</si>
  <si>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</si>
  <si>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</si>
  <si>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</si>
  <si>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</si>
  <si>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</si>
  <si>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</si>
  <si>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</si>
  <si>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</si>
  <si>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</si>
  <si>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</si>
  <si>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</si>
  <si>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</si>
  <si>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</si>
  <si>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</si>
  <si>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</si>
  <si>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</si>
  <si>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</si>
  <si>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</si>
  <si>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</si>
  <si>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</si>
  <si>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</si>
  <si>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</si>
  <si>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</si>
  <si>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</si>
  <si>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</si>
  <si>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</si>
  <si>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</si>
  <si>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</si>
  <si>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</si>
  <si>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</si>
  <si>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</si>
  <si>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</si>
  <si>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</si>
  <si>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</si>
  <si>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</si>
  <si>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</si>
  <si>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</si>
  <si>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</si>
  <si>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</si>
  <si>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</si>
  <si>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</si>
  <si>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</si>
  <si>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</si>
  <si>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</si>
  <si>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</si>
  <si>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</si>
  <si>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</si>
  <si>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</si>
  <si>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</si>
  <si>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</si>
  <si>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</si>
  <si>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</si>
  <si>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</si>
  <si>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</si>
  <si>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</si>
  <si>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</si>
  <si>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</si>
  <si>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</si>
  <si>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</si>
  <si>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</si>
  <si>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</si>
  <si>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</si>
  <si>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</si>
  <si>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</si>
  <si>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</si>
  <si>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</si>
  <si>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</si>
  <si>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</si>
  <si>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</si>
  <si>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</si>
  <si>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</si>
  <si>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</si>
  <si>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</si>
  <si>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</si>
  <si>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</si>
  <si>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</si>
  <si>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</si>
  <si>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</si>
  <si>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</si>
  <si>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</si>
  <si>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</si>
  <si>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</si>
  <si>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</si>
  <si>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</si>
  <si>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</si>
  <si>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</si>
  <si>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</si>
  <si>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</si>
  <si>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</si>
  <si>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</si>
  <si>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</si>
  <si>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</si>
  <si>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</si>
  <si>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</si>
  <si>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</si>
  <si>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</si>
  <si>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</si>
  <si>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</si>
  <si>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</si>
  <si>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</si>
  <si>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</si>
  <si>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Cleaned Dataset — 306 rows (removed 14 rows with missing values). Values only; formulas operate on this sheet.</t>
  </si>
  <si>
    <t>Dummy Variables for store_type — IF formulas from '2_Cleaned_Data'. Reference category: Residential (dropped).</t>
  </si>
  <si>
    <t>Dummy formula example — Column D row 5:  =IF('2_Cleaned_Data'!D3="Airport",1,0)</t>
  </si>
  <si>
    <t>store_Airport</t>
  </si>
  <si>
    <t>store_HighStreet</t>
  </si>
  <si>
    <t>store_Mall</t>
  </si>
  <si>
    <t>Simple Regression Models — Formulas used: SLOPE, INTERCEPT, RSQ, INDEX(LINEST,...)</t>
  </si>
  <si>
    <t>Model 1: monthly_sales ~ marketing_spend</t>
  </si>
  <si>
    <t>Metric</t>
  </si>
  <si>
    <t>Value (formula)</t>
  </si>
  <si>
    <t>Interpretation</t>
  </si>
  <si>
    <t>Intercept ($)</t>
  </si>
  <si>
    <t>Coefficient</t>
  </si>
  <si>
    <t>R-squared</t>
  </si>
  <si>
    <t>Number of data points used</t>
  </si>
  <si>
    <t>SE of Coefficient</t>
  </si>
  <si>
    <t>Standard error of the slope coefficient</t>
  </si>
  <si>
    <t>df (residuals)</t>
  </si>
  <si>
    <t>Degrees of freedom for residuals = n − 2</t>
  </si>
  <si>
    <t>T-statistic</t>
  </si>
  <si>
    <t>Two-tailed p-value; &lt; 0.05 = statistically significant</t>
  </si>
  <si>
    <t>Regression Equation</t>
  </si>
  <si>
    <t>Equation using computed intercept and coefficient</t>
  </si>
  <si>
    <t>Model 2: monthly_sales ~ footfall</t>
  </si>
  <si>
    <t>Model 3: monthly_sales ~ customer_rating</t>
  </si>
  <si>
    <t>Predictions and Residuals — all computed by formula using Sheet 5 coefficients</t>
  </si>
  <si>
    <t>actual_sales ($)</t>
  </si>
  <si>
    <t>predicted_sales ($)</t>
  </si>
  <si>
    <t>residual ($)</t>
  </si>
  <si>
    <t>residual_%</t>
  </si>
  <si>
    <t>Model</t>
  </si>
  <si>
    <t>Dependent Variable</t>
  </si>
  <si>
    <t>Independent Variables</t>
  </si>
  <si>
    <t>Adj R-squared</t>
  </si>
  <si>
    <t>Key Significant Variables</t>
  </si>
  <si>
    <t>Business Usefulness</t>
  </si>
  <si>
    <t>Recommended?</t>
  </si>
  <si>
    <t>Simple Model 1 (marketing_spend)</t>
  </si>
  <si>
    <t>n/a</t>
  </si>
  <si>
    <t>marketing_spend (p&lt;0.001)</t>
  </si>
  <si>
    <t>Low-Moderate</t>
  </si>
  <si>
    <t>No</t>
  </si>
  <si>
    <t>Simple Model 2 (footfall)</t>
  </si>
  <si>
    <t>footfall (p&lt;0.001)</t>
  </si>
  <si>
    <t>High</t>
  </si>
  <si>
    <t>Simple Model 3 (customer_rating)</t>
  </si>
  <si>
    <t>None (p=0.647, NS)</t>
  </si>
  <si>
    <t>None</t>
  </si>
  <si>
    <t>Multiple Regression — FINAL</t>
  </si>
  <si>
    <t>footfall***, marketing_spend***, inventory_avail***, store_Airport***, store_Mall***, store_HighStreet*</t>
  </si>
  <si>
    <t>YES</t>
  </si>
  <si>
    <t>marketing_spend, footfall, avg_discount_pct, inventory_availability_pct + 3 store dummy variables</t>
  </si>
  <si>
    <t>Model Comparison — R-squared values and key metrics pulled from Sheets 4 and 5</t>
  </si>
  <si>
    <t>Top 5 Negative Residuals</t>
  </si>
  <si>
    <t>Top 5 Positive Residuals</t>
  </si>
  <si>
    <t>73% of sales variation explained by this variable</t>
  </si>
  <si>
    <t>Every 1000 increase in footfall leads to $35641 increase in monthly sales</t>
  </si>
  <si>
    <t>Every $1 increase in marketing spend leads to $2.05 increase in monthly_sales</t>
  </si>
  <si>
    <t>monthly_sales = 7,03,414.65 - 5117.9739 x [customer_rating]</t>
  </si>
  <si>
    <t>monthly_sales = 4,47,699.03 + 35.6415 x [footfall]</t>
  </si>
  <si>
    <t>monthly_sales = 5,67,463.56 + 2.0519 x [marketing_spend]</t>
  </si>
  <si>
    <t>Predicted sales when marketing_spend = 0 (baseline)</t>
  </si>
  <si>
    <t>Change in monthly sales per unit increase in marketing_spend</t>
  </si>
  <si>
    <t>Predicted sales when footfall = 0 (baseline)</t>
  </si>
  <si>
    <t>Change in monthly sales per unit increase in footfall</t>
  </si>
  <si>
    <t>15.74% of sales variation explained by this variable</t>
  </si>
  <si>
    <t>Predicted sales when customer_rating = 0 (baseline)</t>
  </si>
  <si>
    <t>Change in monthly sales per unit increase in customer_rating</t>
  </si>
  <si>
    <t>Proportion of sales variation explained by this variable is insignificant</t>
  </si>
  <si>
    <t>Two-tailed p-value; &gt; 0.05 = statistically NOT significant. Fail to reject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</si>
</sst>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:mm:ss"/>
    <numFmt numFmtId="165" formatCode="#,##0.0000"/>
    <numFmt numFmtId="166" formatCode="0.0000"/>
    <numFmt numFmtId="167" formatCode="0.000000"/>
  </numFmts>
  <fonts count="17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CC0000"/>
      <name val="Arial"/>
    </font>
    <font>
      <sz val="10"/>
      <color rgb="FF000080"/>
      <name val="Arial"/>
    </font>
    <font>
      <b/>
      <sz val="11"/>
      <color rgb="FF1F4E79"/>
      <name val="Arial"/>
    </font>
    <font>
      <b/>
      <sz val="10"/>
      <name val="Arial"/>
    </font>
    <font>
      <i/>
      <sz val="9"/>
      <color rgb="FF555555"/>
      <name val="Arial"/>
    </font>
    <font>
      <sz val="10"/>
      <name val="Arial"/>
      <family val="2"/>
    </font>
    <font>
      <b/>
      <sz val="12"/>
      <color rgb="FF1F4E79"/>
      <name val="Arial"/>
      <family val="2"/>
    </font>
    <font>
      <b/>
      <i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i/>
      <sz val="11"/>
      <color rgb="FF000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165" fontId="5" fillId="0" borderId="1" xfId="0" applyNumberFormat="1" applyFont="1" applyBorder="1"/>
    <xf numFmtId="166" fontId="5" fillId="3" borderId="1" xfId="0" applyNumberFormat="1" applyFont="1" applyFill="1" applyBorder="1"/>
    <xf numFmtId="166" fontId="5" fillId="0" borderId="1" xfId="0" applyNumberFormat="1" applyFont="1" applyBorder="1"/>
    <xf numFmtId="167" fontId="5" fillId="4" borderId="1" xfId="0" applyNumberFormat="1" applyFont="1" applyFill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3" fillId="0" borderId="1" xfId="0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66" fontId="5" fillId="4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/>
    <xf numFmtId="0" fontId="5" fillId="4" borderId="1" xfId="0" applyFont="1" applyFill="1" applyBorder="1"/>
    <xf numFmtId="0" fontId="9" fillId="0" borderId="1" xfId="0" applyFont="1" applyBorder="1"/>
    <xf numFmtId="0" fontId="14" fillId="2" borderId="1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5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" fillId="0" borderId="0" xfId="0" applyFont="1"/>
    <xf numFmtId="0" fontId="0" fillId="0" borderId="0" xfId="0"/>
    <xf numFmtId="0" fontId="10" fillId="0" borderId="0" xfId="0" applyFont="1"/>
    <xf numFmtId="0" fontId="6" fillId="0" borderId="0" xfId="0" applyFont="1"/>
    <xf numFmtId="0" fontId="16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3" xfId="0" applyFont="1" applyBorder="1" applyAlignment="1">
      <alignment horizontal="left" vertical="center"/>
    </xf>
    <xf numFmtId="0" fontId="0" fillId="0" borderId="3" xfId="0" applyBorder="1"/>
    <xf numFmtId="0" fontId="10" fillId="0" borderId="0" xfId="0" applyFont="1" applyAlignment="1">
      <alignment vertical="center"/>
    </xf>
    <xf numFmtId="0" fontId="1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predicted_sales ($) vs actual_sales</a:t>
            </a:r>
            <a:r>
              <a:rPr lang="en-US" baseline="0"/>
              <a:t> 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'8_Residual_Plots'!$AB$2</c:f>
              <c:strCache>
                <c:ptCount val="1"/>
                <c:pt idx="0">
                  <c:v>predicted_sales ($)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50000"/>
                  </a:schemeClr>
                </a:solidFill>
                <a:prstDash val="solid"/>
              </a:ln>
              <a:effectLst/>
            </c:spPr>
            <c:trendlineType val="linear"/>
            <c:forward val="1000"/>
            <c:backward val="100"/>
            <c:dispRSqr val="0"/>
            <c:dispEq val="0"/>
          </c:trendline>
          <c:xVal>
            <c:numRef>
              <c:f>'8_Residual_Plots'!$AA$3:$AA$308</c:f>
              <c:numCache>
                <c:formatCode>General</c:formatCode>
                <c:ptCount val="306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850164.26</c:v>
                </c:pt>
                <c:pt idx="5">
                  <c:v>806615.54</c:v>
                </c:pt>
                <c:pt idx="6">
                  <c:v>761835.34</c:v>
                </c:pt>
                <c:pt idx="7">
                  <c:v>741341.44</c:v>
                </c:pt>
                <c:pt idx="8">
                  <c:v>930581.7</c:v>
                </c:pt>
                <c:pt idx="9">
                  <c:v>910791.94</c:v>
                </c:pt>
                <c:pt idx="10">
                  <c:v>779010.94</c:v>
                </c:pt>
                <c:pt idx="11">
                  <c:v>723060.76</c:v>
                </c:pt>
                <c:pt idx="12">
                  <c:v>922168.6</c:v>
                </c:pt>
                <c:pt idx="13">
                  <c:v>834017.02</c:v>
                </c:pt>
                <c:pt idx="14">
                  <c:v>746501.09</c:v>
                </c:pt>
                <c:pt idx="15">
                  <c:v>726606.28</c:v>
                </c:pt>
                <c:pt idx="16">
                  <c:v>591619.94999999995</c:v>
                </c:pt>
                <c:pt idx="17">
                  <c:v>666152.52</c:v>
                </c:pt>
                <c:pt idx="18">
                  <c:v>666573.19999999995</c:v>
                </c:pt>
                <c:pt idx="19">
                  <c:v>573155.18999999994</c:v>
                </c:pt>
                <c:pt idx="20">
                  <c:v>555929.4</c:v>
                </c:pt>
                <c:pt idx="21">
                  <c:v>565810.99</c:v>
                </c:pt>
                <c:pt idx="22">
                  <c:v>491905.13</c:v>
                </c:pt>
                <c:pt idx="23">
                  <c:v>415721.82</c:v>
                </c:pt>
                <c:pt idx="24">
                  <c:v>701641.97</c:v>
                </c:pt>
                <c:pt idx="25">
                  <c:v>783672.82</c:v>
                </c:pt>
                <c:pt idx="26">
                  <c:v>811771.14</c:v>
                </c:pt>
                <c:pt idx="27">
                  <c:v>800451.94</c:v>
                </c:pt>
                <c:pt idx="28">
                  <c:v>537383.79</c:v>
                </c:pt>
                <c:pt idx="29">
                  <c:v>500173.02</c:v>
                </c:pt>
                <c:pt idx="30">
                  <c:v>427917.38</c:v>
                </c:pt>
                <c:pt idx="31">
                  <c:v>511844.41</c:v>
                </c:pt>
                <c:pt idx="32">
                  <c:v>798952.17</c:v>
                </c:pt>
                <c:pt idx="33">
                  <c:v>800979.78</c:v>
                </c:pt>
                <c:pt idx="34">
                  <c:v>641865.03</c:v>
                </c:pt>
                <c:pt idx="35">
                  <c:v>820593.93</c:v>
                </c:pt>
                <c:pt idx="36">
                  <c:v>828623.85</c:v>
                </c:pt>
                <c:pt idx="37">
                  <c:v>736633.4</c:v>
                </c:pt>
                <c:pt idx="38">
                  <c:v>718330.53</c:v>
                </c:pt>
                <c:pt idx="39">
                  <c:v>657429.18000000005</c:v>
                </c:pt>
                <c:pt idx="40">
                  <c:v>532644.46</c:v>
                </c:pt>
                <c:pt idx="41">
                  <c:v>592195.85</c:v>
                </c:pt>
                <c:pt idx="42">
                  <c:v>605178</c:v>
                </c:pt>
                <c:pt idx="43">
                  <c:v>614800.09</c:v>
                </c:pt>
                <c:pt idx="44">
                  <c:v>585365.73</c:v>
                </c:pt>
                <c:pt idx="45">
                  <c:v>599603.4</c:v>
                </c:pt>
                <c:pt idx="46">
                  <c:v>595467.6</c:v>
                </c:pt>
                <c:pt idx="47">
                  <c:v>773815.14</c:v>
                </c:pt>
                <c:pt idx="48">
                  <c:v>603297.56999999995</c:v>
                </c:pt>
                <c:pt idx="49">
                  <c:v>625672.86</c:v>
                </c:pt>
                <c:pt idx="50">
                  <c:v>622811.74</c:v>
                </c:pt>
                <c:pt idx="51">
                  <c:v>720852.5</c:v>
                </c:pt>
                <c:pt idx="52">
                  <c:v>746677.75</c:v>
                </c:pt>
                <c:pt idx="53">
                  <c:v>487464.91</c:v>
                </c:pt>
                <c:pt idx="54">
                  <c:v>463534.25</c:v>
                </c:pt>
                <c:pt idx="55">
                  <c:v>518049.26</c:v>
                </c:pt>
                <c:pt idx="56">
                  <c:v>500298.48</c:v>
                </c:pt>
                <c:pt idx="57">
                  <c:v>617291.15</c:v>
                </c:pt>
                <c:pt idx="58">
                  <c:v>553756.43000000005</c:v>
                </c:pt>
                <c:pt idx="59">
                  <c:v>749559.71</c:v>
                </c:pt>
                <c:pt idx="60">
                  <c:v>615966.48</c:v>
                </c:pt>
                <c:pt idx="61">
                  <c:v>761860.19</c:v>
                </c:pt>
                <c:pt idx="62">
                  <c:v>572011.19999999995</c:v>
                </c:pt>
                <c:pt idx="63">
                  <c:v>740496.65</c:v>
                </c:pt>
                <c:pt idx="64">
                  <c:v>717141.55</c:v>
                </c:pt>
                <c:pt idx="65">
                  <c:v>784502.68</c:v>
                </c:pt>
                <c:pt idx="66">
                  <c:v>685379.08</c:v>
                </c:pt>
                <c:pt idx="67">
                  <c:v>661927.14</c:v>
                </c:pt>
                <c:pt idx="68">
                  <c:v>605023.87</c:v>
                </c:pt>
                <c:pt idx="69">
                  <c:v>479050.5</c:v>
                </c:pt>
                <c:pt idx="70">
                  <c:v>788087.68</c:v>
                </c:pt>
                <c:pt idx="71">
                  <c:v>616069.41</c:v>
                </c:pt>
                <c:pt idx="72">
                  <c:v>680840.36</c:v>
                </c:pt>
                <c:pt idx="73">
                  <c:v>630829.93999999994</c:v>
                </c:pt>
                <c:pt idx="74">
                  <c:v>776922.17</c:v>
                </c:pt>
                <c:pt idx="75">
                  <c:v>691112.6</c:v>
                </c:pt>
                <c:pt idx="76">
                  <c:v>643657.47</c:v>
                </c:pt>
                <c:pt idx="77">
                  <c:v>636561.34</c:v>
                </c:pt>
                <c:pt idx="78">
                  <c:v>727241.86</c:v>
                </c:pt>
                <c:pt idx="79">
                  <c:v>682208.01</c:v>
                </c:pt>
                <c:pt idx="80">
                  <c:v>569100.78</c:v>
                </c:pt>
                <c:pt idx="81">
                  <c:v>621369.57999999996</c:v>
                </c:pt>
                <c:pt idx="82">
                  <c:v>574436.29</c:v>
                </c:pt>
                <c:pt idx="83">
                  <c:v>450711.92</c:v>
                </c:pt>
                <c:pt idx="84">
                  <c:v>614596.31999999995</c:v>
                </c:pt>
                <c:pt idx="85">
                  <c:v>711213.46</c:v>
                </c:pt>
                <c:pt idx="86">
                  <c:v>586307.22</c:v>
                </c:pt>
                <c:pt idx="87">
                  <c:v>739852.58</c:v>
                </c:pt>
                <c:pt idx="88">
                  <c:v>627171.9</c:v>
                </c:pt>
                <c:pt idx="89">
                  <c:v>838250.32</c:v>
                </c:pt>
                <c:pt idx="90">
                  <c:v>753473.55</c:v>
                </c:pt>
                <c:pt idx="91">
                  <c:v>585937.48</c:v>
                </c:pt>
                <c:pt idx="92">
                  <c:v>607898.12</c:v>
                </c:pt>
                <c:pt idx="93">
                  <c:v>735509.4</c:v>
                </c:pt>
                <c:pt idx="94">
                  <c:v>675177.68</c:v>
                </c:pt>
                <c:pt idx="95">
                  <c:v>691113.62</c:v>
                </c:pt>
                <c:pt idx="96">
                  <c:v>625514.04</c:v>
                </c:pt>
                <c:pt idx="97">
                  <c:v>635181.35</c:v>
                </c:pt>
                <c:pt idx="98">
                  <c:v>740102.64</c:v>
                </c:pt>
                <c:pt idx="99">
                  <c:v>586626.93999999994</c:v>
                </c:pt>
                <c:pt idx="100">
                  <c:v>795153.84</c:v>
                </c:pt>
                <c:pt idx="101">
                  <c:v>727227.2</c:v>
                </c:pt>
                <c:pt idx="102">
                  <c:v>665594.93999999994</c:v>
                </c:pt>
                <c:pt idx="103">
                  <c:v>783797.89</c:v>
                </c:pt>
                <c:pt idx="104">
                  <c:v>713611.16</c:v>
                </c:pt>
                <c:pt idx="105">
                  <c:v>709478.39</c:v>
                </c:pt>
                <c:pt idx="106">
                  <c:v>664162.49</c:v>
                </c:pt>
                <c:pt idx="107">
                  <c:v>633494.21</c:v>
                </c:pt>
                <c:pt idx="108">
                  <c:v>873380.02</c:v>
                </c:pt>
                <c:pt idx="109">
                  <c:v>778397.97</c:v>
                </c:pt>
                <c:pt idx="110">
                  <c:v>718074.79</c:v>
                </c:pt>
                <c:pt idx="111">
                  <c:v>697287.9</c:v>
                </c:pt>
                <c:pt idx="112">
                  <c:v>820519.04</c:v>
                </c:pt>
                <c:pt idx="113">
                  <c:v>714942.43</c:v>
                </c:pt>
                <c:pt idx="114">
                  <c:v>735480.19</c:v>
                </c:pt>
                <c:pt idx="115">
                  <c:v>684217.32</c:v>
                </c:pt>
                <c:pt idx="116">
                  <c:v>654317.09</c:v>
                </c:pt>
                <c:pt idx="117">
                  <c:v>557487.26</c:v>
                </c:pt>
                <c:pt idx="118">
                  <c:v>509484.81</c:v>
                </c:pt>
                <c:pt idx="119">
                  <c:v>441275.42</c:v>
                </c:pt>
                <c:pt idx="120">
                  <c:v>914544.17</c:v>
                </c:pt>
                <c:pt idx="121">
                  <c:v>842157.92</c:v>
                </c:pt>
                <c:pt idx="122">
                  <c:v>697155.3</c:v>
                </c:pt>
                <c:pt idx="123">
                  <c:v>842439.67</c:v>
                </c:pt>
                <c:pt idx="124">
                  <c:v>849018.3</c:v>
                </c:pt>
                <c:pt idx="125">
                  <c:v>801830.35</c:v>
                </c:pt>
                <c:pt idx="126">
                  <c:v>811452.72</c:v>
                </c:pt>
                <c:pt idx="127">
                  <c:v>725235.28</c:v>
                </c:pt>
                <c:pt idx="128">
                  <c:v>593247.25</c:v>
                </c:pt>
                <c:pt idx="129">
                  <c:v>529075.94999999995</c:v>
                </c:pt>
                <c:pt idx="130">
                  <c:v>527300.13</c:v>
                </c:pt>
                <c:pt idx="131">
                  <c:v>758827.64</c:v>
                </c:pt>
                <c:pt idx="132">
                  <c:v>743348.84</c:v>
                </c:pt>
                <c:pt idx="133">
                  <c:v>646559.71</c:v>
                </c:pt>
                <c:pt idx="134">
                  <c:v>715890.53</c:v>
                </c:pt>
                <c:pt idx="135">
                  <c:v>682639.28</c:v>
                </c:pt>
                <c:pt idx="136">
                  <c:v>695098.51</c:v>
                </c:pt>
                <c:pt idx="137">
                  <c:v>715097.57</c:v>
                </c:pt>
                <c:pt idx="138">
                  <c:v>570964.84</c:v>
                </c:pt>
                <c:pt idx="139">
                  <c:v>601568.87</c:v>
                </c:pt>
                <c:pt idx="140">
                  <c:v>537058.32999999996</c:v>
                </c:pt>
                <c:pt idx="141">
                  <c:v>577732.56999999995</c:v>
                </c:pt>
                <c:pt idx="142">
                  <c:v>696744.15</c:v>
                </c:pt>
                <c:pt idx="143">
                  <c:v>725847.99</c:v>
                </c:pt>
                <c:pt idx="144">
                  <c:v>712868.35</c:v>
                </c:pt>
                <c:pt idx="145">
                  <c:v>614024.91</c:v>
                </c:pt>
                <c:pt idx="146">
                  <c:v>698492.67</c:v>
                </c:pt>
                <c:pt idx="147">
                  <c:v>702318.94</c:v>
                </c:pt>
                <c:pt idx="148">
                  <c:v>785028.25</c:v>
                </c:pt>
                <c:pt idx="149">
                  <c:v>685830.24</c:v>
                </c:pt>
                <c:pt idx="150">
                  <c:v>724216.07</c:v>
                </c:pt>
                <c:pt idx="151">
                  <c:v>620973.03</c:v>
                </c:pt>
                <c:pt idx="152">
                  <c:v>700078.32</c:v>
                </c:pt>
                <c:pt idx="153">
                  <c:v>602002.31999999995</c:v>
                </c:pt>
                <c:pt idx="154">
                  <c:v>778298.88</c:v>
                </c:pt>
                <c:pt idx="155">
                  <c:v>692008.64</c:v>
                </c:pt>
                <c:pt idx="156">
                  <c:v>650480.06000000006</c:v>
                </c:pt>
                <c:pt idx="157">
                  <c:v>825797.91</c:v>
                </c:pt>
                <c:pt idx="158">
                  <c:v>820729.29</c:v>
                </c:pt>
                <c:pt idx="159">
                  <c:v>665534.69999999995</c:v>
                </c:pt>
                <c:pt idx="160">
                  <c:v>706285.52</c:v>
                </c:pt>
                <c:pt idx="161">
                  <c:v>769702.76</c:v>
                </c:pt>
                <c:pt idx="162">
                  <c:v>679731.57</c:v>
                </c:pt>
                <c:pt idx="163">
                  <c:v>739831.73</c:v>
                </c:pt>
                <c:pt idx="164">
                  <c:v>593637.14</c:v>
                </c:pt>
                <c:pt idx="165">
                  <c:v>780344.18</c:v>
                </c:pt>
                <c:pt idx="166">
                  <c:v>804264</c:v>
                </c:pt>
                <c:pt idx="167">
                  <c:v>758138.29</c:v>
                </c:pt>
                <c:pt idx="168">
                  <c:v>721364.11</c:v>
                </c:pt>
                <c:pt idx="169">
                  <c:v>783582</c:v>
                </c:pt>
                <c:pt idx="170">
                  <c:v>898031.04</c:v>
                </c:pt>
                <c:pt idx="171">
                  <c:v>781955.52</c:v>
                </c:pt>
                <c:pt idx="172">
                  <c:v>887537.75</c:v>
                </c:pt>
                <c:pt idx="173">
                  <c:v>751393.88</c:v>
                </c:pt>
                <c:pt idx="174">
                  <c:v>855341.28</c:v>
                </c:pt>
                <c:pt idx="175">
                  <c:v>761077.08</c:v>
                </c:pt>
                <c:pt idx="176">
                  <c:v>819660.59</c:v>
                </c:pt>
                <c:pt idx="177">
                  <c:v>765906.95</c:v>
                </c:pt>
                <c:pt idx="178">
                  <c:v>678311.17</c:v>
                </c:pt>
                <c:pt idx="179">
                  <c:v>712546.38</c:v>
                </c:pt>
                <c:pt idx="180">
                  <c:v>681855.56</c:v>
                </c:pt>
                <c:pt idx="181">
                  <c:v>625993.82999999996</c:v>
                </c:pt>
                <c:pt idx="182">
                  <c:v>550962.93000000005</c:v>
                </c:pt>
                <c:pt idx="183">
                  <c:v>443275.59</c:v>
                </c:pt>
                <c:pt idx="184">
                  <c:v>554012.06999999995</c:v>
                </c:pt>
                <c:pt idx="185">
                  <c:v>559422.02</c:v>
                </c:pt>
                <c:pt idx="186">
                  <c:v>611924.27</c:v>
                </c:pt>
                <c:pt idx="187">
                  <c:v>643428.85</c:v>
                </c:pt>
                <c:pt idx="188">
                  <c:v>735786.64</c:v>
                </c:pt>
                <c:pt idx="189">
                  <c:v>691447.43</c:v>
                </c:pt>
                <c:pt idx="190">
                  <c:v>578949.84</c:v>
                </c:pt>
                <c:pt idx="191">
                  <c:v>574066.61</c:v>
                </c:pt>
                <c:pt idx="192">
                  <c:v>787715.51</c:v>
                </c:pt>
                <c:pt idx="193">
                  <c:v>598904.9</c:v>
                </c:pt>
                <c:pt idx="194">
                  <c:v>650795.49</c:v>
                </c:pt>
                <c:pt idx="195">
                  <c:v>607084.92000000004</c:v>
                </c:pt>
                <c:pt idx="196">
                  <c:v>795464.47</c:v>
                </c:pt>
                <c:pt idx="197">
                  <c:v>825060.52</c:v>
                </c:pt>
                <c:pt idx="198">
                  <c:v>671868.59</c:v>
                </c:pt>
                <c:pt idx="199">
                  <c:v>675917.63</c:v>
                </c:pt>
                <c:pt idx="200">
                  <c:v>810446.53</c:v>
                </c:pt>
                <c:pt idx="201">
                  <c:v>761963.23</c:v>
                </c:pt>
                <c:pt idx="202">
                  <c:v>946833.54</c:v>
                </c:pt>
                <c:pt idx="203">
                  <c:v>691288.19</c:v>
                </c:pt>
                <c:pt idx="204">
                  <c:v>804975.5</c:v>
                </c:pt>
                <c:pt idx="205">
                  <c:v>812152.6</c:v>
                </c:pt>
                <c:pt idx="206">
                  <c:v>836908.24</c:v>
                </c:pt>
                <c:pt idx="207">
                  <c:v>752321.72</c:v>
                </c:pt>
                <c:pt idx="208">
                  <c:v>673348.56</c:v>
                </c:pt>
                <c:pt idx="209">
                  <c:v>674289.1</c:v>
                </c:pt>
                <c:pt idx="210">
                  <c:v>606278.30000000005</c:v>
                </c:pt>
                <c:pt idx="211">
                  <c:v>622892.42000000004</c:v>
                </c:pt>
                <c:pt idx="212">
                  <c:v>712219.81</c:v>
                </c:pt>
                <c:pt idx="213">
                  <c:v>672670.54</c:v>
                </c:pt>
                <c:pt idx="214">
                  <c:v>732667.92</c:v>
                </c:pt>
                <c:pt idx="215">
                  <c:v>723531.4</c:v>
                </c:pt>
                <c:pt idx="216">
                  <c:v>641564.6</c:v>
                </c:pt>
                <c:pt idx="217">
                  <c:v>536545.49</c:v>
                </c:pt>
                <c:pt idx="218">
                  <c:v>527681.56000000006</c:v>
                </c:pt>
                <c:pt idx="219">
                  <c:v>870937.4</c:v>
                </c:pt>
                <c:pt idx="220">
                  <c:v>596969.27</c:v>
                </c:pt>
                <c:pt idx="221">
                  <c:v>570963.31000000006</c:v>
                </c:pt>
                <c:pt idx="222">
                  <c:v>723305.11</c:v>
                </c:pt>
                <c:pt idx="223">
                  <c:v>658072.14</c:v>
                </c:pt>
                <c:pt idx="224">
                  <c:v>640666.53</c:v>
                </c:pt>
                <c:pt idx="225">
                  <c:v>670629.48</c:v>
                </c:pt>
                <c:pt idx="226">
                  <c:v>737070.18</c:v>
                </c:pt>
                <c:pt idx="227">
                  <c:v>761919.25</c:v>
                </c:pt>
                <c:pt idx="228">
                  <c:v>810355.02</c:v>
                </c:pt>
                <c:pt idx="229">
                  <c:v>721079.35</c:v>
                </c:pt>
                <c:pt idx="230">
                  <c:v>776992.93</c:v>
                </c:pt>
                <c:pt idx="231">
                  <c:v>676337.41</c:v>
                </c:pt>
                <c:pt idx="232">
                  <c:v>828219.67</c:v>
                </c:pt>
                <c:pt idx="233">
                  <c:v>763159.92</c:v>
                </c:pt>
                <c:pt idx="234">
                  <c:v>802001.68</c:v>
                </c:pt>
                <c:pt idx="235">
                  <c:v>750471.34</c:v>
                </c:pt>
                <c:pt idx="236">
                  <c:v>679888.74</c:v>
                </c:pt>
                <c:pt idx="237">
                  <c:v>679230.86</c:v>
                </c:pt>
                <c:pt idx="238">
                  <c:v>729440.45</c:v>
                </c:pt>
                <c:pt idx="239">
                  <c:v>647953.78</c:v>
                </c:pt>
                <c:pt idx="240">
                  <c:v>642751.42000000004</c:v>
                </c:pt>
                <c:pt idx="241">
                  <c:v>799046.94</c:v>
                </c:pt>
                <c:pt idx="242">
                  <c:v>720079.54</c:v>
                </c:pt>
                <c:pt idx="243">
                  <c:v>764949</c:v>
                </c:pt>
                <c:pt idx="244">
                  <c:v>612390.14</c:v>
                </c:pt>
                <c:pt idx="245">
                  <c:v>840108.12</c:v>
                </c:pt>
                <c:pt idx="246">
                  <c:v>776110.32</c:v>
                </c:pt>
                <c:pt idx="247">
                  <c:v>697888.09</c:v>
                </c:pt>
                <c:pt idx="248">
                  <c:v>746115.59</c:v>
                </c:pt>
                <c:pt idx="249">
                  <c:v>677640.65</c:v>
                </c:pt>
                <c:pt idx="250">
                  <c:v>636613.23</c:v>
                </c:pt>
                <c:pt idx="251">
                  <c:v>528852.62</c:v>
                </c:pt>
                <c:pt idx="252">
                  <c:v>767792.94</c:v>
                </c:pt>
                <c:pt idx="253">
                  <c:v>762328.31</c:v>
                </c:pt>
                <c:pt idx="254">
                  <c:v>745580.51</c:v>
                </c:pt>
                <c:pt idx="255">
                  <c:v>708985.19</c:v>
                </c:pt>
                <c:pt idx="256">
                  <c:v>739374.56</c:v>
                </c:pt>
                <c:pt idx="257">
                  <c:v>799756.46</c:v>
                </c:pt>
                <c:pt idx="258">
                  <c:v>593343</c:v>
                </c:pt>
                <c:pt idx="259">
                  <c:v>660633.99</c:v>
                </c:pt>
                <c:pt idx="260">
                  <c:v>686737.87</c:v>
                </c:pt>
                <c:pt idx="261">
                  <c:v>561597.32999999996</c:v>
                </c:pt>
                <c:pt idx="262">
                  <c:v>645039.97</c:v>
                </c:pt>
                <c:pt idx="263">
                  <c:v>635837.74</c:v>
                </c:pt>
                <c:pt idx="264">
                  <c:v>738548.42</c:v>
                </c:pt>
                <c:pt idx="265">
                  <c:v>756619.77</c:v>
                </c:pt>
                <c:pt idx="266">
                  <c:v>761122.42</c:v>
                </c:pt>
                <c:pt idx="267">
                  <c:v>673076.34</c:v>
                </c:pt>
                <c:pt idx="268">
                  <c:v>714083.68</c:v>
                </c:pt>
                <c:pt idx="269">
                  <c:v>497439.82</c:v>
                </c:pt>
                <c:pt idx="270">
                  <c:v>555557.77</c:v>
                </c:pt>
                <c:pt idx="271">
                  <c:v>524899.56999999995</c:v>
                </c:pt>
                <c:pt idx="272">
                  <c:v>609949</c:v>
                </c:pt>
                <c:pt idx="273">
                  <c:v>633009.53</c:v>
                </c:pt>
                <c:pt idx="274">
                  <c:v>548103.69999999995</c:v>
                </c:pt>
                <c:pt idx="275">
                  <c:v>636775.66</c:v>
                </c:pt>
                <c:pt idx="276">
                  <c:v>813316.71</c:v>
                </c:pt>
                <c:pt idx="277">
                  <c:v>729424.42</c:v>
                </c:pt>
                <c:pt idx="278">
                  <c:v>702068.92</c:v>
                </c:pt>
                <c:pt idx="279">
                  <c:v>696261.49</c:v>
                </c:pt>
                <c:pt idx="280">
                  <c:v>487738.26</c:v>
                </c:pt>
                <c:pt idx="281">
                  <c:v>533121.26</c:v>
                </c:pt>
                <c:pt idx="282">
                  <c:v>498970.32</c:v>
                </c:pt>
                <c:pt idx="283">
                  <c:v>546223.69999999995</c:v>
                </c:pt>
                <c:pt idx="284">
                  <c:v>763162.45</c:v>
                </c:pt>
                <c:pt idx="285">
                  <c:v>668459.37</c:v>
                </c:pt>
                <c:pt idx="286">
                  <c:v>599017.32999999996</c:v>
                </c:pt>
                <c:pt idx="287">
                  <c:v>401582.58</c:v>
                </c:pt>
                <c:pt idx="288">
                  <c:v>780580.95</c:v>
                </c:pt>
                <c:pt idx="289">
                  <c:v>730890.01</c:v>
                </c:pt>
                <c:pt idx="290">
                  <c:v>724346.73</c:v>
                </c:pt>
                <c:pt idx="291">
                  <c:v>703812.99</c:v>
                </c:pt>
                <c:pt idx="292">
                  <c:v>665342.49</c:v>
                </c:pt>
                <c:pt idx="293">
                  <c:v>727957.48</c:v>
                </c:pt>
                <c:pt idx="294">
                  <c:v>651164.18000000005</c:v>
                </c:pt>
                <c:pt idx="295">
                  <c:v>538376</c:v>
                </c:pt>
                <c:pt idx="296">
                  <c:v>621677.30000000005</c:v>
                </c:pt>
                <c:pt idx="297">
                  <c:v>628538.30000000005</c:v>
                </c:pt>
                <c:pt idx="298">
                  <c:v>536524.84</c:v>
                </c:pt>
                <c:pt idx="299">
                  <c:v>844710.67</c:v>
                </c:pt>
                <c:pt idx="300">
                  <c:v>712375.77</c:v>
                </c:pt>
                <c:pt idx="301">
                  <c:v>702052.47</c:v>
                </c:pt>
                <c:pt idx="302">
                  <c:v>536845.42000000004</c:v>
                </c:pt>
                <c:pt idx="303">
                  <c:v>726776.22</c:v>
                </c:pt>
                <c:pt idx="304">
                  <c:v>559660.84</c:v>
                </c:pt>
                <c:pt idx="305">
                  <c:v>620264.19999999995</c:v>
                </c:pt>
              </c:numCache>
            </c:numRef>
          </c:xVal>
          <c:yVal>
            <c:numRef>
              <c:f>'8_Residual_Plots'!$AB$3:$AB$308</c:f>
              <c:numCache>
                <c:formatCode>General</c:formatCode>
                <c:ptCount val="306"/>
                <c:pt idx="0">
                  <c:v>708513.15762499813</c:v>
                </c:pt>
                <c:pt idx="1">
                  <c:v>703686.17701867537</c:v>
                </c:pt>
                <c:pt idx="2">
                  <c:v>755456.45136663527</c:v>
                </c:pt>
                <c:pt idx="3">
                  <c:v>758994.28542810038</c:v>
                </c:pt>
                <c:pt idx="4">
                  <c:v>782816.69901262887</c:v>
                </c:pt>
                <c:pt idx="5">
                  <c:v>797090.34410776536</c:v>
                </c:pt>
                <c:pt idx="6">
                  <c:v>788711.14357103431</c:v>
                </c:pt>
                <c:pt idx="7">
                  <c:v>792842.62707604724</c:v>
                </c:pt>
                <c:pt idx="8">
                  <c:v>865496.8432046955</c:v>
                </c:pt>
                <c:pt idx="9">
                  <c:v>871529.07103220304</c:v>
                </c:pt>
                <c:pt idx="10">
                  <c:v>799677.981699834</c:v>
                </c:pt>
                <c:pt idx="11">
                  <c:v>760415.20601181372</c:v>
                </c:pt>
                <c:pt idx="12">
                  <c:v>875463.02730935952</c:v>
                </c:pt>
                <c:pt idx="13">
                  <c:v>809037.0553003737</c:v>
                </c:pt>
                <c:pt idx="14">
                  <c:v>745291.36662790633</c:v>
                </c:pt>
                <c:pt idx="15">
                  <c:v>772743.45259249862</c:v>
                </c:pt>
                <c:pt idx="16">
                  <c:v>590748.00342681562</c:v>
                </c:pt>
                <c:pt idx="17">
                  <c:v>679455.31891691952</c:v>
                </c:pt>
                <c:pt idx="18">
                  <c:v>681628.20991061954</c:v>
                </c:pt>
                <c:pt idx="19">
                  <c:v>591157.93637187465</c:v>
                </c:pt>
                <c:pt idx="20">
                  <c:v>523364.6803755975</c:v>
                </c:pt>
                <c:pt idx="21">
                  <c:v>546645.6039331397</c:v>
                </c:pt>
                <c:pt idx="22">
                  <c:v>488934.99480881949</c:v>
                </c:pt>
                <c:pt idx="23">
                  <c:v>495424.8737875839</c:v>
                </c:pt>
                <c:pt idx="24">
                  <c:v>699081.66619823163</c:v>
                </c:pt>
                <c:pt idx="25">
                  <c:v>791583.94868663419</c:v>
                </c:pt>
                <c:pt idx="26">
                  <c:v>835507.0228169621</c:v>
                </c:pt>
                <c:pt idx="27">
                  <c:v>900057.34598440863</c:v>
                </c:pt>
                <c:pt idx="28">
                  <c:v>527455.88921792689</c:v>
                </c:pt>
                <c:pt idx="29">
                  <c:v>513595.73383692803</c:v>
                </c:pt>
                <c:pt idx="30">
                  <c:v>496829.62363886414</c:v>
                </c:pt>
                <c:pt idx="31">
                  <c:v>585319.25565598742</c:v>
                </c:pt>
                <c:pt idx="32">
                  <c:v>800190.87772998284</c:v>
                </c:pt>
                <c:pt idx="33">
                  <c:v>816815.48515656893</c:v>
                </c:pt>
                <c:pt idx="34">
                  <c:v>743673.68683792849</c:v>
                </c:pt>
                <c:pt idx="35">
                  <c:v>778049.02713872376</c:v>
                </c:pt>
                <c:pt idx="36">
                  <c:v>834980.79314007843</c:v>
                </c:pt>
                <c:pt idx="37">
                  <c:v>749966.53772669239</c:v>
                </c:pt>
                <c:pt idx="38">
                  <c:v>763095.50698127272</c:v>
                </c:pt>
                <c:pt idx="39">
                  <c:v>598084.84011575521</c:v>
                </c:pt>
                <c:pt idx="40">
                  <c:v>531161.68490750156</c:v>
                </c:pt>
                <c:pt idx="41">
                  <c:v>591047.13291479531</c:v>
                </c:pt>
                <c:pt idx="42">
                  <c:v>608554.16507824184</c:v>
                </c:pt>
                <c:pt idx="43">
                  <c:v>574835.56032868603</c:v>
                </c:pt>
                <c:pt idx="44">
                  <c:v>564236.82828119781</c:v>
                </c:pt>
                <c:pt idx="45">
                  <c:v>627879.16029933072</c:v>
                </c:pt>
                <c:pt idx="46">
                  <c:v>718262.01528030937</c:v>
                </c:pt>
                <c:pt idx="47">
                  <c:v>743255.96750289341</c:v>
                </c:pt>
                <c:pt idx="48">
                  <c:v>597252.55909291189</c:v>
                </c:pt>
                <c:pt idx="49">
                  <c:v>619644.97603527387</c:v>
                </c:pt>
                <c:pt idx="50">
                  <c:v>658493.76564467512</c:v>
                </c:pt>
                <c:pt idx="51">
                  <c:v>675099.64692927094</c:v>
                </c:pt>
                <c:pt idx="52">
                  <c:v>702889.25299004896</c:v>
                </c:pt>
                <c:pt idx="53">
                  <c:v>529002.04539008299</c:v>
                </c:pt>
                <c:pt idx="54">
                  <c:v>557761.75134332268</c:v>
                </c:pt>
                <c:pt idx="55">
                  <c:v>544532.19252380321</c:v>
                </c:pt>
                <c:pt idx="56">
                  <c:v>540455.24573573109</c:v>
                </c:pt>
                <c:pt idx="57">
                  <c:v>686316.45948599116</c:v>
                </c:pt>
                <c:pt idx="58">
                  <c:v>628283.33081554633</c:v>
                </c:pt>
                <c:pt idx="59">
                  <c:v>684560.40657651925</c:v>
                </c:pt>
                <c:pt idx="60">
                  <c:v>568210.22021022788</c:v>
                </c:pt>
                <c:pt idx="61">
                  <c:v>716489.69496199198</c:v>
                </c:pt>
                <c:pt idx="62">
                  <c:v>584714.3617251321</c:v>
                </c:pt>
                <c:pt idx="63">
                  <c:v>733270.10574678017</c:v>
                </c:pt>
                <c:pt idx="64">
                  <c:v>733953.44407373562</c:v>
                </c:pt>
                <c:pt idx="65">
                  <c:v>805104.00936383859</c:v>
                </c:pt>
                <c:pt idx="66">
                  <c:v>842418.23363628529</c:v>
                </c:pt>
                <c:pt idx="67">
                  <c:v>599298.56094203133</c:v>
                </c:pt>
                <c:pt idx="68">
                  <c:v>599279.77308147738</c:v>
                </c:pt>
                <c:pt idx="69">
                  <c:v>511362.27951093687</c:v>
                </c:pt>
                <c:pt idx="70">
                  <c:v>701799.37304050883</c:v>
                </c:pt>
                <c:pt idx="71">
                  <c:v>598461.1041366061</c:v>
                </c:pt>
                <c:pt idx="72">
                  <c:v>713506.29456356529</c:v>
                </c:pt>
                <c:pt idx="73">
                  <c:v>693507.5697905398</c:v>
                </c:pt>
                <c:pt idx="74">
                  <c:v>723786.75157900911</c:v>
                </c:pt>
                <c:pt idx="75">
                  <c:v>654419.14807726408</c:v>
                </c:pt>
                <c:pt idx="76">
                  <c:v>656707.36224000889</c:v>
                </c:pt>
                <c:pt idx="77">
                  <c:v>660041.49328012741</c:v>
                </c:pt>
                <c:pt idx="78">
                  <c:v>645886.73892839125</c:v>
                </c:pt>
                <c:pt idx="79">
                  <c:v>631816.41321414616</c:v>
                </c:pt>
                <c:pt idx="80">
                  <c:v>560320.72095591621</c:v>
                </c:pt>
                <c:pt idx="81">
                  <c:v>643742.09122758335</c:v>
                </c:pt>
                <c:pt idx="82">
                  <c:v>556182.66131709854</c:v>
                </c:pt>
                <c:pt idx="83">
                  <c:v>453228.3787597121</c:v>
                </c:pt>
                <c:pt idx="84">
                  <c:v>617515.764042511</c:v>
                </c:pt>
                <c:pt idx="85">
                  <c:v>680697.71825130878</c:v>
                </c:pt>
                <c:pt idx="86">
                  <c:v>561384.91894297034</c:v>
                </c:pt>
                <c:pt idx="87">
                  <c:v>717581.96346834966</c:v>
                </c:pt>
                <c:pt idx="88">
                  <c:v>754728.7747576714</c:v>
                </c:pt>
                <c:pt idx="89">
                  <c:v>760356.59322693397</c:v>
                </c:pt>
                <c:pt idx="90">
                  <c:v>690914.04870514385</c:v>
                </c:pt>
                <c:pt idx="91">
                  <c:v>581891.21821975091</c:v>
                </c:pt>
                <c:pt idx="92">
                  <c:v>614623.58136303793</c:v>
                </c:pt>
                <c:pt idx="93">
                  <c:v>661657.28899823455</c:v>
                </c:pt>
                <c:pt idx="94">
                  <c:v>652212.07631029864</c:v>
                </c:pt>
                <c:pt idx="95">
                  <c:v>698010.7561379862</c:v>
                </c:pt>
                <c:pt idx="96">
                  <c:v>538285.80404746474</c:v>
                </c:pt>
                <c:pt idx="97">
                  <c:v>598008.62319744984</c:v>
                </c:pt>
                <c:pt idx="98">
                  <c:v>715522.86121019861</c:v>
                </c:pt>
                <c:pt idx="99">
                  <c:v>630152.64280054881</c:v>
                </c:pt>
                <c:pt idx="100">
                  <c:v>720854.41437855747</c:v>
                </c:pt>
                <c:pt idx="101">
                  <c:v>694564.52517497889</c:v>
                </c:pt>
                <c:pt idx="102">
                  <c:v>670433.24664047046</c:v>
                </c:pt>
                <c:pt idx="103">
                  <c:v>789249.26759276842</c:v>
                </c:pt>
                <c:pt idx="104">
                  <c:v>617601.62540410273</c:v>
                </c:pt>
                <c:pt idx="105">
                  <c:v>685691.24389949115</c:v>
                </c:pt>
                <c:pt idx="106">
                  <c:v>657734.96733361809</c:v>
                </c:pt>
                <c:pt idx="107">
                  <c:v>663369.31791159732</c:v>
                </c:pt>
                <c:pt idx="108">
                  <c:v>834582.01496444643</c:v>
                </c:pt>
                <c:pt idx="109">
                  <c:v>743012.59351590974</c:v>
                </c:pt>
                <c:pt idx="110">
                  <c:v>758658.7774177161</c:v>
                </c:pt>
                <c:pt idx="111">
                  <c:v>754045.81305337581</c:v>
                </c:pt>
                <c:pt idx="112">
                  <c:v>717684.65941515507</c:v>
                </c:pt>
                <c:pt idx="113">
                  <c:v>698603.13245635713</c:v>
                </c:pt>
                <c:pt idx="114">
                  <c:v>722567.72079411568</c:v>
                </c:pt>
                <c:pt idx="115">
                  <c:v>739781.87682617689</c:v>
                </c:pt>
                <c:pt idx="116">
                  <c:v>625645.86278929317</c:v>
                </c:pt>
                <c:pt idx="117">
                  <c:v>595758.30845812359</c:v>
                </c:pt>
                <c:pt idx="118">
                  <c:v>562734.03600250324</c:v>
                </c:pt>
                <c:pt idx="119">
                  <c:v>503413.61676376651</c:v>
                </c:pt>
                <c:pt idx="120">
                  <c:v>815637.1127957087</c:v>
                </c:pt>
                <c:pt idx="121">
                  <c:v>778126.63377041975</c:v>
                </c:pt>
                <c:pt idx="122">
                  <c:v>697808.70618626603</c:v>
                </c:pt>
                <c:pt idx="123">
                  <c:v>844955.19222115201</c:v>
                </c:pt>
                <c:pt idx="124">
                  <c:v>828115.09897931817</c:v>
                </c:pt>
                <c:pt idx="125">
                  <c:v>806352.75341152074</c:v>
                </c:pt>
                <c:pt idx="126">
                  <c:v>829195.44374767866</c:v>
                </c:pt>
                <c:pt idx="127">
                  <c:v>791951.00288520951</c:v>
                </c:pt>
                <c:pt idx="128">
                  <c:v>600275.44295120216</c:v>
                </c:pt>
                <c:pt idx="129">
                  <c:v>544140.17103983089</c:v>
                </c:pt>
                <c:pt idx="130">
                  <c:v>580474.79527390422</c:v>
                </c:pt>
                <c:pt idx="131">
                  <c:v>685770.74828052986</c:v>
                </c:pt>
                <c:pt idx="132">
                  <c:v>703016.60102513852</c:v>
                </c:pt>
                <c:pt idx="133">
                  <c:v>617377.69042521226</c:v>
                </c:pt>
                <c:pt idx="134">
                  <c:v>666551.58502366696</c:v>
                </c:pt>
                <c:pt idx="135">
                  <c:v>639666.28961342538</c:v>
                </c:pt>
                <c:pt idx="136">
                  <c:v>671232.02593595372</c:v>
                </c:pt>
                <c:pt idx="137">
                  <c:v>694954.19849143713</c:v>
                </c:pt>
                <c:pt idx="138">
                  <c:v>567548.20885901467</c:v>
                </c:pt>
                <c:pt idx="139">
                  <c:v>599574.98386611324</c:v>
                </c:pt>
                <c:pt idx="140">
                  <c:v>564675.45761086326</c:v>
                </c:pt>
                <c:pt idx="141">
                  <c:v>610678.16592448554</c:v>
                </c:pt>
                <c:pt idx="142">
                  <c:v>668012.44015233335</c:v>
                </c:pt>
                <c:pt idx="143">
                  <c:v>701734.7508913991</c:v>
                </c:pt>
                <c:pt idx="144">
                  <c:v>711563.04171411158</c:v>
                </c:pt>
                <c:pt idx="145">
                  <c:v>649139.66697740415</c:v>
                </c:pt>
                <c:pt idx="146">
                  <c:v>690499.32692025951</c:v>
                </c:pt>
                <c:pt idx="147">
                  <c:v>705140.72773865634</c:v>
                </c:pt>
                <c:pt idx="148">
                  <c:v>799837.59555853193</c:v>
                </c:pt>
                <c:pt idx="149">
                  <c:v>730153.37082283094</c:v>
                </c:pt>
                <c:pt idx="150">
                  <c:v>666802.54832612909</c:v>
                </c:pt>
                <c:pt idx="151">
                  <c:v>574288.46421221225</c:v>
                </c:pt>
                <c:pt idx="152">
                  <c:v>718219.54737613257</c:v>
                </c:pt>
                <c:pt idx="153">
                  <c:v>646544.38119292702</c:v>
                </c:pt>
                <c:pt idx="154">
                  <c:v>698981.91598304233</c:v>
                </c:pt>
                <c:pt idx="155">
                  <c:v>694615.77323458262</c:v>
                </c:pt>
                <c:pt idx="156">
                  <c:v>696327.66509251192</c:v>
                </c:pt>
                <c:pt idx="157">
                  <c:v>786680.72156135086</c:v>
                </c:pt>
                <c:pt idx="158">
                  <c:v>817361.34773197595</c:v>
                </c:pt>
                <c:pt idx="159">
                  <c:v>682447.39209999528</c:v>
                </c:pt>
                <c:pt idx="160">
                  <c:v>736796.91312731337</c:v>
                </c:pt>
                <c:pt idx="161">
                  <c:v>728774.71607679396</c:v>
                </c:pt>
                <c:pt idx="162">
                  <c:v>685805.0500182379</c:v>
                </c:pt>
                <c:pt idx="163">
                  <c:v>764007.36293236609</c:v>
                </c:pt>
                <c:pt idx="164">
                  <c:v>663149.21954115399</c:v>
                </c:pt>
                <c:pt idx="165">
                  <c:v>765921.52601025812</c:v>
                </c:pt>
                <c:pt idx="166">
                  <c:v>817672.16246907832</c:v>
                </c:pt>
                <c:pt idx="167">
                  <c:v>777694.08400791511</c:v>
                </c:pt>
                <c:pt idx="168">
                  <c:v>752994.76930727798</c:v>
                </c:pt>
                <c:pt idx="169">
                  <c:v>722093.60308266233</c:v>
                </c:pt>
                <c:pt idx="170">
                  <c:v>849733.57431079785</c:v>
                </c:pt>
                <c:pt idx="171">
                  <c:v>761929.59279228712</c:v>
                </c:pt>
                <c:pt idx="172">
                  <c:v>882044.75540927495</c:v>
                </c:pt>
                <c:pt idx="173">
                  <c:v>739268.50648130756</c:v>
                </c:pt>
                <c:pt idx="174">
                  <c:v>845016.26617562852</c:v>
                </c:pt>
                <c:pt idx="175">
                  <c:v>751970.43677227572</c:v>
                </c:pt>
                <c:pt idx="176">
                  <c:v>817177.14574193442</c:v>
                </c:pt>
                <c:pt idx="177">
                  <c:v>703342.23896795465</c:v>
                </c:pt>
                <c:pt idx="178">
                  <c:v>656537.0557640153</c:v>
                </c:pt>
                <c:pt idx="179">
                  <c:v>710163.06790622498</c:v>
                </c:pt>
                <c:pt idx="180">
                  <c:v>701358.20411156002</c:v>
                </c:pt>
                <c:pt idx="181">
                  <c:v>597611.57762669981</c:v>
                </c:pt>
                <c:pt idx="182">
                  <c:v>549809.63887717365</c:v>
                </c:pt>
                <c:pt idx="183">
                  <c:v>462630.05013568053</c:v>
                </c:pt>
                <c:pt idx="184">
                  <c:v>605600.44539880485</c:v>
                </c:pt>
                <c:pt idx="185">
                  <c:v>551859.79000649042</c:v>
                </c:pt>
                <c:pt idx="186">
                  <c:v>612574.7797617123</c:v>
                </c:pt>
                <c:pt idx="187">
                  <c:v>680257.40691521764</c:v>
                </c:pt>
                <c:pt idx="188">
                  <c:v>640920.90981013014</c:v>
                </c:pt>
                <c:pt idx="189">
                  <c:v>636478.98544025538</c:v>
                </c:pt>
                <c:pt idx="190">
                  <c:v>597590.53382674058</c:v>
                </c:pt>
                <c:pt idx="191">
                  <c:v>602075.5084450529</c:v>
                </c:pt>
                <c:pt idx="192">
                  <c:v>708739.81528868841</c:v>
                </c:pt>
                <c:pt idx="193">
                  <c:v>631639.27631106297</c:v>
                </c:pt>
                <c:pt idx="194">
                  <c:v>694690.36252136354</c:v>
                </c:pt>
                <c:pt idx="195">
                  <c:v>673500.57453158149</c:v>
                </c:pt>
                <c:pt idx="196">
                  <c:v>751598.52677443437</c:v>
                </c:pt>
                <c:pt idx="197">
                  <c:v>851836.07273887238</c:v>
                </c:pt>
                <c:pt idx="198">
                  <c:v>746928.20317316847</c:v>
                </c:pt>
                <c:pt idx="199">
                  <c:v>766541.69878146658</c:v>
                </c:pt>
                <c:pt idx="200">
                  <c:v>807040.1710535367</c:v>
                </c:pt>
                <c:pt idx="201">
                  <c:v>778399.39361542568</c:v>
                </c:pt>
                <c:pt idx="202">
                  <c:v>967900.25995590969</c:v>
                </c:pt>
                <c:pt idx="203">
                  <c:v>774144.34077179513</c:v>
                </c:pt>
                <c:pt idx="204">
                  <c:v>752042.65867731522</c:v>
                </c:pt>
                <c:pt idx="205">
                  <c:v>765186.05837685475</c:v>
                </c:pt>
                <c:pt idx="206">
                  <c:v>812223.28509989008</c:v>
                </c:pt>
                <c:pt idx="207">
                  <c:v>751817.83756908076</c:v>
                </c:pt>
                <c:pt idx="208">
                  <c:v>636681.71014889074</c:v>
                </c:pt>
                <c:pt idx="209">
                  <c:v>663389.39780615165</c:v>
                </c:pt>
                <c:pt idx="210">
                  <c:v>614428.73982688866</c:v>
                </c:pt>
                <c:pt idx="211">
                  <c:v>635519.82953625277</c:v>
                </c:pt>
                <c:pt idx="212">
                  <c:v>707630.38291247399</c:v>
                </c:pt>
                <c:pt idx="213">
                  <c:v>683003.21265389584</c:v>
                </c:pt>
                <c:pt idx="214">
                  <c:v>744254.55647465296</c:v>
                </c:pt>
                <c:pt idx="215">
                  <c:v>769292.91732602776</c:v>
                </c:pt>
                <c:pt idx="216">
                  <c:v>624145.72546355869</c:v>
                </c:pt>
                <c:pt idx="217">
                  <c:v>544357.66815353383</c:v>
                </c:pt>
                <c:pt idx="218">
                  <c:v>569661.59438291995</c:v>
                </c:pt>
                <c:pt idx="219">
                  <c:v>818441.48537247849</c:v>
                </c:pt>
                <c:pt idx="220">
                  <c:v>640364.37422468164</c:v>
                </c:pt>
                <c:pt idx="221">
                  <c:v>634906.69992495188</c:v>
                </c:pt>
                <c:pt idx="222">
                  <c:v>633798.33373015164</c:v>
                </c:pt>
                <c:pt idx="223">
                  <c:v>601822.15381677006</c:v>
                </c:pt>
                <c:pt idx="224">
                  <c:v>621769.60732919862</c:v>
                </c:pt>
                <c:pt idx="225">
                  <c:v>655223.58204979554</c:v>
                </c:pt>
                <c:pt idx="226">
                  <c:v>733771.86400957452</c:v>
                </c:pt>
                <c:pt idx="227">
                  <c:v>776209.19094097114</c:v>
                </c:pt>
                <c:pt idx="228">
                  <c:v>830480.31919007527</c:v>
                </c:pt>
                <c:pt idx="229">
                  <c:v>796827.74683921749</c:v>
                </c:pt>
                <c:pt idx="230">
                  <c:v>752978.30831515649</c:v>
                </c:pt>
                <c:pt idx="231">
                  <c:v>662646.31019808876</c:v>
                </c:pt>
                <c:pt idx="232">
                  <c:v>826583.52367025998</c:v>
                </c:pt>
                <c:pt idx="233">
                  <c:v>774424.05690826906</c:v>
                </c:pt>
                <c:pt idx="234">
                  <c:v>794672.33111003053</c:v>
                </c:pt>
                <c:pt idx="235">
                  <c:v>755762.01963280386</c:v>
                </c:pt>
                <c:pt idx="236">
                  <c:v>693584.18237431056</c:v>
                </c:pt>
                <c:pt idx="237">
                  <c:v>715055.30391500052</c:v>
                </c:pt>
                <c:pt idx="238">
                  <c:v>714669.60399271525</c:v>
                </c:pt>
                <c:pt idx="239">
                  <c:v>644627.56446959183</c:v>
                </c:pt>
                <c:pt idx="240">
                  <c:v>660640.50256423501</c:v>
                </c:pt>
                <c:pt idx="241">
                  <c:v>727441.87014798087</c:v>
                </c:pt>
                <c:pt idx="242">
                  <c:v>696636.30545426649</c:v>
                </c:pt>
                <c:pt idx="243">
                  <c:v>774233.03239338729</c:v>
                </c:pt>
                <c:pt idx="244">
                  <c:v>660390.75083705818</c:v>
                </c:pt>
                <c:pt idx="245">
                  <c:v>759290.52737036278</c:v>
                </c:pt>
                <c:pt idx="246">
                  <c:v>731802.89007023594</c:v>
                </c:pt>
                <c:pt idx="247">
                  <c:v>679141.65000455349</c:v>
                </c:pt>
                <c:pt idx="248">
                  <c:v>744792.67796403659</c:v>
                </c:pt>
                <c:pt idx="249">
                  <c:v>608844.00666046387</c:v>
                </c:pt>
                <c:pt idx="250">
                  <c:v>609193.25991791172</c:v>
                </c:pt>
                <c:pt idx="251">
                  <c:v>519631.21998928813</c:v>
                </c:pt>
                <c:pt idx="252">
                  <c:v>740390.68568281969</c:v>
                </c:pt>
                <c:pt idx="253">
                  <c:v>735507.47397072578</c:v>
                </c:pt>
                <c:pt idx="254">
                  <c:v>726390.8501480507</c:v>
                </c:pt>
                <c:pt idx="255">
                  <c:v>732730.07528951659</c:v>
                </c:pt>
                <c:pt idx="256">
                  <c:v>704994.82320537814</c:v>
                </c:pt>
                <c:pt idx="257">
                  <c:v>815169.00693746633</c:v>
                </c:pt>
                <c:pt idx="258">
                  <c:v>685669.64290958003</c:v>
                </c:pt>
                <c:pt idx="259">
                  <c:v>753415.95235509169</c:v>
                </c:pt>
                <c:pt idx="260">
                  <c:v>601024.08299667446</c:v>
                </c:pt>
                <c:pt idx="261">
                  <c:v>525364.4752257982</c:v>
                </c:pt>
                <c:pt idx="262">
                  <c:v>641410.62068783958</c:v>
                </c:pt>
                <c:pt idx="263">
                  <c:v>647781.97181673476</c:v>
                </c:pt>
                <c:pt idx="264">
                  <c:v>700365.62300061213</c:v>
                </c:pt>
                <c:pt idx="265">
                  <c:v>740889.96304342744</c:v>
                </c:pt>
                <c:pt idx="266">
                  <c:v>771437.24561019475</c:v>
                </c:pt>
                <c:pt idx="267">
                  <c:v>737636.25720211875</c:v>
                </c:pt>
                <c:pt idx="268">
                  <c:v>689224.48063145939</c:v>
                </c:pt>
                <c:pt idx="269">
                  <c:v>497843.92010521778</c:v>
                </c:pt>
                <c:pt idx="270">
                  <c:v>584825.52871016285</c:v>
                </c:pt>
                <c:pt idx="271">
                  <c:v>571804.51397681586</c:v>
                </c:pt>
                <c:pt idx="272">
                  <c:v>592415.17462585331</c:v>
                </c:pt>
                <c:pt idx="273">
                  <c:v>623381.04781998554</c:v>
                </c:pt>
                <c:pt idx="274">
                  <c:v>546722.00226627686</c:v>
                </c:pt>
                <c:pt idx="275">
                  <c:v>638263.59183913074</c:v>
                </c:pt>
                <c:pt idx="276">
                  <c:v>716285.36915543769</c:v>
                </c:pt>
                <c:pt idx="277">
                  <c:v>695897.08920224884</c:v>
                </c:pt>
                <c:pt idx="278">
                  <c:v>712992.4224638209</c:v>
                </c:pt>
                <c:pt idx="279">
                  <c:v>716312.77691430098</c:v>
                </c:pt>
                <c:pt idx="280">
                  <c:v>461902.63312603114</c:v>
                </c:pt>
                <c:pt idx="281">
                  <c:v>522528.84272827796</c:v>
                </c:pt>
                <c:pt idx="282">
                  <c:v>491463.27348161762</c:v>
                </c:pt>
                <c:pt idx="283">
                  <c:v>581525.7705891456</c:v>
                </c:pt>
                <c:pt idx="284">
                  <c:v>681608.81999623752</c:v>
                </c:pt>
                <c:pt idx="285">
                  <c:v>676291.91842128499</c:v>
                </c:pt>
                <c:pt idx="286">
                  <c:v>623678.6635733681</c:v>
                </c:pt>
                <c:pt idx="287">
                  <c:v>475939.16458057961</c:v>
                </c:pt>
                <c:pt idx="288">
                  <c:v>728066.83015402069</c:v>
                </c:pt>
                <c:pt idx="289">
                  <c:v>742247.70893739571</c:v>
                </c:pt>
                <c:pt idx="290">
                  <c:v>737941.99441227317</c:v>
                </c:pt>
                <c:pt idx="291">
                  <c:v>729926.18395466183</c:v>
                </c:pt>
                <c:pt idx="292">
                  <c:v>610737.23864119477</c:v>
                </c:pt>
                <c:pt idx="293">
                  <c:v>678694.957814425</c:v>
                </c:pt>
                <c:pt idx="294">
                  <c:v>699310.61826884048</c:v>
                </c:pt>
                <c:pt idx="295">
                  <c:v>629753.65374658559</c:v>
                </c:pt>
                <c:pt idx="296">
                  <c:v>629605.48005571414</c:v>
                </c:pt>
                <c:pt idx="297">
                  <c:v>641269.97670192493</c:v>
                </c:pt>
                <c:pt idx="298">
                  <c:v>573853.45478119608</c:v>
                </c:pt>
                <c:pt idx="299">
                  <c:v>812006.38338295068</c:v>
                </c:pt>
                <c:pt idx="300">
                  <c:v>684903.80615002406</c:v>
                </c:pt>
                <c:pt idx="301">
                  <c:v>677409.43004835176</c:v>
                </c:pt>
                <c:pt idx="302">
                  <c:v>531187.75132917636</c:v>
                </c:pt>
                <c:pt idx="303">
                  <c:v>723725.6656758826</c:v>
                </c:pt>
                <c:pt idx="304">
                  <c:v>593232.82231564308</c:v>
                </c:pt>
                <c:pt idx="305">
                  <c:v>669745.613501705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32-4DD2-BA93-E11112FB7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167376"/>
        <c:axId val="1470167856"/>
      </c:scatterChart>
      <c:valAx>
        <c:axId val="1470167376"/>
        <c:scaling>
          <c:orientation val="minMax"/>
          <c:min val="400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67856"/>
        <c:crosses val="autoZero"/>
        <c:crossBetween val="midCat"/>
      </c:valAx>
      <c:valAx>
        <c:axId val="1470167856"/>
        <c:scaling>
          <c:orientation val="minMax"/>
          <c:min val="40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67376"/>
        <c:crossesAt val="400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 ($) vs predicted_sales</a:t>
            </a:r>
            <a:r>
              <a:rPr lang="en-US" baseline="0"/>
              <a:t> 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'8_Residual_Plots'!$AE$2</c:f>
              <c:strCache>
                <c:ptCount val="1"/>
                <c:pt idx="0">
                  <c:v>residual ($)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'8_Residual_Plots'!$AD$3:$AD$308</c:f>
              <c:numCache>
                <c:formatCode>General</c:formatCode>
                <c:ptCount val="306"/>
                <c:pt idx="0">
                  <c:v>708513.15762499813</c:v>
                </c:pt>
                <c:pt idx="1">
                  <c:v>703686.17701867537</c:v>
                </c:pt>
                <c:pt idx="2">
                  <c:v>755456.45136663527</c:v>
                </c:pt>
                <c:pt idx="3">
                  <c:v>758994.28542810038</c:v>
                </c:pt>
                <c:pt idx="4">
                  <c:v>782816.69901262887</c:v>
                </c:pt>
                <c:pt idx="5">
                  <c:v>797090.34410776536</c:v>
                </c:pt>
                <c:pt idx="6">
                  <c:v>788711.14357103431</c:v>
                </c:pt>
                <c:pt idx="7">
                  <c:v>792842.62707604724</c:v>
                </c:pt>
                <c:pt idx="8">
                  <c:v>865496.8432046955</c:v>
                </c:pt>
                <c:pt idx="9">
                  <c:v>871529.07103220304</c:v>
                </c:pt>
                <c:pt idx="10">
                  <c:v>799677.981699834</c:v>
                </c:pt>
                <c:pt idx="11">
                  <c:v>760415.20601181372</c:v>
                </c:pt>
                <c:pt idx="12">
                  <c:v>875463.02730935952</c:v>
                </c:pt>
                <c:pt idx="13">
                  <c:v>809037.0553003737</c:v>
                </c:pt>
                <c:pt idx="14">
                  <c:v>745291.36662790633</c:v>
                </c:pt>
                <c:pt idx="15">
                  <c:v>772743.45259249862</c:v>
                </c:pt>
                <c:pt idx="16">
                  <c:v>590748.00342681562</c:v>
                </c:pt>
                <c:pt idx="17">
                  <c:v>679455.31891691952</c:v>
                </c:pt>
                <c:pt idx="18">
                  <c:v>681628.20991061954</c:v>
                </c:pt>
                <c:pt idx="19">
                  <c:v>591157.93637187465</c:v>
                </c:pt>
                <c:pt idx="20">
                  <c:v>523364.6803755975</c:v>
                </c:pt>
                <c:pt idx="21">
                  <c:v>546645.6039331397</c:v>
                </c:pt>
                <c:pt idx="22">
                  <c:v>488934.99480881949</c:v>
                </c:pt>
                <c:pt idx="23">
                  <c:v>495424.8737875839</c:v>
                </c:pt>
                <c:pt idx="24">
                  <c:v>699081.66619823163</c:v>
                </c:pt>
                <c:pt idx="25">
                  <c:v>791583.94868663419</c:v>
                </c:pt>
                <c:pt idx="26">
                  <c:v>835507.0228169621</c:v>
                </c:pt>
                <c:pt idx="27">
                  <c:v>900057.34598440863</c:v>
                </c:pt>
                <c:pt idx="28">
                  <c:v>527455.88921792689</c:v>
                </c:pt>
                <c:pt idx="29">
                  <c:v>513595.73383692803</c:v>
                </c:pt>
                <c:pt idx="30">
                  <c:v>496829.62363886414</c:v>
                </c:pt>
                <c:pt idx="31">
                  <c:v>585319.25565598742</c:v>
                </c:pt>
                <c:pt idx="32">
                  <c:v>800190.87772998284</c:v>
                </c:pt>
                <c:pt idx="33">
                  <c:v>816815.48515656893</c:v>
                </c:pt>
                <c:pt idx="34">
                  <c:v>743673.68683792849</c:v>
                </c:pt>
                <c:pt idx="35">
                  <c:v>778049.02713872376</c:v>
                </c:pt>
                <c:pt idx="36">
                  <c:v>834980.79314007843</c:v>
                </c:pt>
                <c:pt idx="37">
                  <c:v>749966.53772669239</c:v>
                </c:pt>
                <c:pt idx="38">
                  <c:v>763095.50698127272</c:v>
                </c:pt>
                <c:pt idx="39">
                  <c:v>598084.84011575521</c:v>
                </c:pt>
                <c:pt idx="40">
                  <c:v>531161.68490750156</c:v>
                </c:pt>
                <c:pt idx="41">
                  <c:v>591047.13291479531</c:v>
                </c:pt>
                <c:pt idx="42">
                  <c:v>608554.16507824184</c:v>
                </c:pt>
                <c:pt idx="43">
                  <c:v>574835.56032868603</c:v>
                </c:pt>
                <c:pt idx="44">
                  <c:v>564236.82828119781</c:v>
                </c:pt>
                <c:pt idx="45">
                  <c:v>627879.16029933072</c:v>
                </c:pt>
                <c:pt idx="46">
                  <c:v>718262.01528030937</c:v>
                </c:pt>
                <c:pt idx="47">
                  <c:v>743255.96750289341</c:v>
                </c:pt>
                <c:pt idx="48">
                  <c:v>597252.55909291189</c:v>
                </c:pt>
                <c:pt idx="49">
                  <c:v>619644.97603527387</c:v>
                </c:pt>
                <c:pt idx="50">
                  <c:v>658493.76564467512</c:v>
                </c:pt>
                <c:pt idx="51">
                  <c:v>675099.64692927094</c:v>
                </c:pt>
                <c:pt idx="52">
                  <c:v>702889.25299004896</c:v>
                </c:pt>
                <c:pt idx="53">
                  <c:v>529002.04539008299</c:v>
                </c:pt>
                <c:pt idx="54">
                  <c:v>557761.75134332268</c:v>
                </c:pt>
                <c:pt idx="55">
                  <c:v>544532.19252380321</c:v>
                </c:pt>
                <c:pt idx="56">
                  <c:v>540455.24573573109</c:v>
                </c:pt>
                <c:pt idx="57">
                  <c:v>686316.45948599116</c:v>
                </c:pt>
                <c:pt idx="58">
                  <c:v>628283.33081554633</c:v>
                </c:pt>
                <c:pt idx="59">
                  <c:v>684560.40657651925</c:v>
                </c:pt>
                <c:pt idx="60">
                  <c:v>568210.22021022788</c:v>
                </c:pt>
                <c:pt idx="61">
                  <c:v>716489.69496199198</c:v>
                </c:pt>
                <c:pt idx="62">
                  <c:v>584714.3617251321</c:v>
                </c:pt>
                <c:pt idx="63">
                  <c:v>733270.10574678017</c:v>
                </c:pt>
                <c:pt idx="64">
                  <c:v>733953.44407373562</c:v>
                </c:pt>
                <c:pt idx="65">
                  <c:v>805104.00936383859</c:v>
                </c:pt>
                <c:pt idx="66">
                  <c:v>842418.23363628529</c:v>
                </c:pt>
                <c:pt idx="67">
                  <c:v>599298.56094203133</c:v>
                </c:pt>
                <c:pt idx="68">
                  <c:v>599279.77308147738</c:v>
                </c:pt>
                <c:pt idx="69">
                  <c:v>511362.27951093687</c:v>
                </c:pt>
                <c:pt idx="70">
                  <c:v>701799.37304050883</c:v>
                </c:pt>
                <c:pt idx="71">
                  <c:v>598461.1041366061</c:v>
                </c:pt>
                <c:pt idx="72">
                  <c:v>713506.29456356529</c:v>
                </c:pt>
                <c:pt idx="73">
                  <c:v>693507.5697905398</c:v>
                </c:pt>
                <c:pt idx="74">
                  <c:v>723786.75157900911</c:v>
                </c:pt>
                <c:pt idx="75">
                  <c:v>654419.14807726408</c:v>
                </c:pt>
                <c:pt idx="76">
                  <c:v>656707.36224000889</c:v>
                </c:pt>
                <c:pt idx="77">
                  <c:v>660041.49328012741</c:v>
                </c:pt>
                <c:pt idx="78">
                  <c:v>645886.73892839125</c:v>
                </c:pt>
                <c:pt idx="79">
                  <c:v>631816.41321414616</c:v>
                </c:pt>
                <c:pt idx="80">
                  <c:v>560320.72095591621</c:v>
                </c:pt>
                <c:pt idx="81">
                  <c:v>643742.09122758335</c:v>
                </c:pt>
                <c:pt idx="82">
                  <c:v>556182.66131709854</c:v>
                </c:pt>
                <c:pt idx="83">
                  <c:v>453228.3787597121</c:v>
                </c:pt>
                <c:pt idx="84">
                  <c:v>617515.764042511</c:v>
                </c:pt>
                <c:pt idx="85">
                  <c:v>680697.71825130878</c:v>
                </c:pt>
                <c:pt idx="86">
                  <c:v>561384.91894297034</c:v>
                </c:pt>
                <c:pt idx="87">
                  <c:v>717581.96346834966</c:v>
                </c:pt>
                <c:pt idx="88">
                  <c:v>754728.7747576714</c:v>
                </c:pt>
                <c:pt idx="89">
                  <c:v>760356.59322693397</c:v>
                </c:pt>
                <c:pt idx="90">
                  <c:v>690914.04870514385</c:v>
                </c:pt>
                <c:pt idx="91">
                  <c:v>581891.21821975091</c:v>
                </c:pt>
                <c:pt idx="92">
                  <c:v>614623.58136303793</c:v>
                </c:pt>
                <c:pt idx="93">
                  <c:v>661657.28899823455</c:v>
                </c:pt>
                <c:pt idx="94">
                  <c:v>652212.07631029864</c:v>
                </c:pt>
                <c:pt idx="95">
                  <c:v>698010.7561379862</c:v>
                </c:pt>
                <c:pt idx="96">
                  <c:v>538285.80404746474</c:v>
                </c:pt>
                <c:pt idx="97">
                  <c:v>598008.62319744984</c:v>
                </c:pt>
                <c:pt idx="98">
                  <c:v>715522.86121019861</c:v>
                </c:pt>
                <c:pt idx="99">
                  <c:v>630152.64280054881</c:v>
                </c:pt>
                <c:pt idx="100">
                  <c:v>720854.41437855747</c:v>
                </c:pt>
                <c:pt idx="101">
                  <c:v>694564.52517497889</c:v>
                </c:pt>
                <c:pt idx="102">
                  <c:v>670433.24664047046</c:v>
                </c:pt>
                <c:pt idx="103">
                  <c:v>789249.26759276842</c:v>
                </c:pt>
                <c:pt idx="104">
                  <c:v>617601.62540410273</c:v>
                </c:pt>
                <c:pt idx="105">
                  <c:v>685691.24389949115</c:v>
                </c:pt>
                <c:pt idx="106">
                  <c:v>657734.96733361809</c:v>
                </c:pt>
                <c:pt idx="107">
                  <c:v>663369.31791159732</c:v>
                </c:pt>
                <c:pt idx="108">
                  <c:v>834582.01496444643</c:v>
                </c:pt>
                <c:pt idx="109">
                  <c:v>743012.59351590974</c:v>
                </c:pt>
                <c:pt idx="110">
                  <c:v>758658.7774177161</c:v>
                </c:pt>
                <c:pt idx="111">
                  <c:v>754045.81305337581</c:v>
                </c:pt>
                <c:pt idx="112">
                  <c:v>717684.65941515507</c:v>
                </c:pt>
                <c:pt idx="113">
                  <c:v>698603.13245635713</c:v>
                </c:pt>
                <c:pt idx="114">
                  <c:v>722567.72079411568</c:v>
                </c:pt>
                <c:pt idx="115">
                  <c:v>739781.87682617689</c:v>
                </c:pt>
                <c:pt idx="116">
                  <c:v>625645.86278929317</c:v>
                </c:pt>
                <c:pt idx="117">
                  <c:v>595758.30845812359</c:v>
                </c:pt>
                <c:pt idx="118">
                  <c:v>562734.03600250324</c:v>
                </c:pt>
                <c:pt idx="119">
                  <c:v>503413.61676376651</c:v>
                </c:pt>
                <c:pt idx="120">
                  <c:v>815637.1127957087</c:v>
                </c:pt>
                <c:pt idx="121">
                  <c:v>778126.63377041975</c:v>
                </c:pt>
                <c:pt idx="122">
                  <c:v>697808.70618626603</c:v>
                </c:pt>
                <c:pt idx="123">
                  <c:v>844955.19222115201</c:v>
                </c:pt>
                <c:pt idx="124">
                  <c:v>828115.09897931817</c:v>
                </c:pt>
                <c:pt idx="125">
                  <c:v>806352.75341152074</c:v>
                </c:pt>
                <c:pt idx="126">
                  <c:v>829195.44374767866</c:v>
                </c:pt>
                <c:pt idx="127">
                  <c:v>791951.00288520951</c:v>
                </c:pt>
                <c:pt idx="128">
                  <c:v>600275.44295120216</c:v>
                </c:pt>
                <c:pt idx="129">
                  <c:v>544140.17103983089</c:v>
                </c:pt>
                <c:pt idx="130">
                  <c:v>580474.79527390422</c:v>
                </c:pt>
                <c:pt idx="131">
                  <c:v>685770.74828052986</c:v>
                </c:pt>
                <c:pt idx="132">
                  <c:v>703016.60102513852</c:v>
                </c:pt>
                <c:pt idx="133">
                  <c:v>617377.69042521226</c:v>
                </c:pt>
                <c:pt idx="134">
                  <c:v>666551.58502366696</c:v>
                </c:pt>
                <c:pt idx="135">
                  <c:v>639666.28961342538</c:v>
                </c:pt>
                <c:pt idx="136">
                  <c:v>671232.02593595372</c:v>
                </c:pt>
                <c:pt idx="137">
                  <c:v>694954.19849143713</c:v>
                </c:pt>
                <c:pt idx="138">
                  <c:v>567548.20885901467</c:v>
                </c:pt>
                <c:pt idx="139">
                  <c:v>599574.98386611324</c:v>
                </c:pt>
                <c:pt idx="140">
                  <c:v>564675.45761086326</c:v>
                </c:pt>
                <c:pt idx="141">
                  <c:v>610678.16592448554</c:v>
                </c:pt>
                <c:pt idx="142">
                  <c:v>668012.44015233335</c:v>
                </c:pt>
                <c:pt idx="143">
                  <c:v>701734.7508913991</c:v>
                </c:pt>
                <c:pt idx="144">
                  <c:v>711563.04171411158</c:v>
                </c:pt>
                <c:pt idx="145">
                  <c:v>649139.66697740415</c:v>
                </c:pt>
                <c:pt idx="146">
                  <c:v>690499.32692025951</c:v>
                </c:pt>
                <c:pt idx="147">
                  <c:v>705140.72773865634</c:v>
                </c:pt>
                <c:pt idx="148">
                  <c:v>799837.59555853193</c:v>
                </c:pt>
                <c:pt idx="149">
                  <c:v>730153.37082283094</c:v>
                </c:pt>
                <c:pt idx="150">
                  <c:v>666802.54832612909</c:v>
                </c:pt>
                <c:pt idx="151">
                  <c:v>574288.46421221225</c:v>
                </c:pt>
                <c:pt idx="152">
                  <c:v>718219.54737613257</c:v>
                </c:pt>
                <c:pt idx="153">
                  <c:v>646544.38119292702</c:v>
                </c:pt>
                <c:pt idx="154">
                  <c:v>698981.91598304233</c:v>
                </c:pt>
                <c:pt idx="155">
                  <c:v>694615.77323458262</c:v>
                </c:pt>
                <c:pt idx="156">
                  <c:v>696327.66509251192</c:v>
                </c:pt>
                <c:pt idx="157">
                  <c:v>786680.72156135086</c:v>
                </c:pt>
                <c:pt idx="158">
                  <c:v>817361.34773197595</c:v>
                </c:pt>
                <c:pt idx="159">
                  <c:v>682447.39209999528</c:v>
                </c:pt>
                <c:pt idx="160">
                  <c:v>736796.91312731337</c:v>
                </c:pt>
                <c:pt idx="161">
                  <c:v>728774.71607679396</c:v>
                </c:pt>
                <c:pt idx="162">
                  <c:v>685805.0500182379</c:v>
                </c:pt>
                <c:pt idx="163">
                  <c:v>764007.36293236609</c:v>
                </c:pt>
                <c:pt idx="164">
                  <c:v>663149.21954115399</c:v>
                </c:pt>
                <c:pt idx="165">
                  <c:v>765921.52601025812</c:v>
                </c:pt>
                <c:pt idx="166">
                  <c:v>817672.16246907832</c:v>
                </c:pt>
                <c:pt idx="167">
                  <c:v>777694.08400791511</c:v>
                </c:pt>
                <c:pt idx="168">
                  <c:v>752994.76930727798</c:v>
                </c:pt>
                <c:pt idx="169">
                  <c:v>722093.60308266233</c:v>
                </c:pt>
                <c:pt idx="170">
                  <c:v>849733.57431079785</c:v>
                </c:pt>
                <c:pt idx="171">
                  <c:v>761929.59279228712</c:v>
                </c:pt>
                <c:pt idx="172">
                  <c:v>882044.75540927495</c:v>
                </c:pt>
                <c:pt idx="173">
                  <c:v>739268.50648130756</c:v>
                </c:pt>
                <c:pt idx="174">
                  <c:v>845016.26617562852</c:v>
                </c:pt>
                <c:pt idx="175">
                  <c:v>751970.43677227572</c:v>
                </c:pt>
                <c:pt idx="176">
                  <c:v>817177.14574193442</c:v>
                </c:pt>
                <c:pt idx="177">
                  <c:v>703342.23896795465</c:v>
                </c:pt>
                <c:pt idx="178">
                  <c:v>656537.0557640153</c:v>
                </c:pt>
                <c:pt idx="179">
                  <c:v>710163.06790622498</c:v>
                </c:pt>
                <c:pt idx="180">
                  <c:v>701358.20411156002</c:v>
                </c:pt>
                <c:pt idx="181">
                  <c:v>597611.57762669981</c:v>
                </c:pt>
                <c:pt idx="182">
                  <c:v>549809.63887717365</c:v>
                </c:pt>
                <c:pt idx="183">
                  <c:v>462630.05013568053</c:v>
                </c:pt>
                <c:pt idx="184">
                  <c:v>605600.44539880485</c:v>
                </c:pt>
                <c:pt idx="185">
                  <c:v>551859.79000649042</c:v>
                </c:pt>
                <c:pt idx="186">
                  <c:v>612574.7797617123</c:v>
                </c:pt>
                <c:pt idx="187">
                  <c:v>680257.40691521764</c:v>
                </c:pt>
                <c:pt idx="188">
                  <c:v>640920.90981013014</c:v>
                </c:pt>
                <c:pt idx="189">
                  <c:v>636478.98544025538</c:v>
                </c:pt>
                <c:pt idx="190">
                  <c:v>597590.53382674058</c:v>
                </c:pt>
                <c:pt idx="191">
                  <c:v>602075.5084450529</c:v>
                </c:pt>
                <c:pt idx="192">
                  <c:v>708739.81528868841</c:v>
                </c:pt>
                <c:pt idx="193">
                  <c:v>631639.27631106297</c:v>
                </c:pt>
                <c:pt idx="194">
                  <c:v>694690.36252136354</c:v>
                </c:pt>
                <c:pt idx="195">
                  <c:v>673500.57453158149</c:v>
                </c:pt>
                <c:pt idx="196">
                  <c:v>751598.52677443437</c:v>
                </c:pt>
                <c:pt idx="197">
                  <c:v>851836.07273887238</c:v>
                </c:pt>
                <c:pt idx="198">
                  <c:v>746928.20317316847</c:v>
                </c:pt>
                <c:pt idx="199">
                  <c:v>766541.69878146658</c:v>
                </c:pt>
                <c:pt idx="200">
                  <c:v>807040.1710535367</c:v>
                </c:pt>
                <c:pt idx="201">
                  <c:v>778399.39361542568</c:v>
                </c:pt>
                <c:pt idx="202">
                  <c:v>967900.25995590969</c:v>
                </c:pt>
                <c:pt idx="203">
                  <c:v>774144.34077179513</c:v>
                </c:pt>
                <c:pt idx="204">
                  <c:v>752042.65867731522</c:v>
                </c:pt>
                <c:pt idx="205">
                  <c:v>765186.05837685475</c:v>
                </c:pt>
                <c:pt idx="206">
                  <c:v>812223.28509989008</c:v>
                </c:pt>
                <c:pt idx="207">
                  <c:v>751817.83756908076</c:v>
                </c:pt>
                <c:pt idx="208">
                  <c:v>636681.71014889074</c:v>
                </c:pt>
                <c:pt idx="209">
                  <c:v>663389.39780615165</c:v>
                </c:pt>
                <c:pt idx="210">
                  <c:v>614428.73982688866</c:v>
                </c:pt>
                <c:pt idx="211">
                  <c:v>635519.82953625277</c:v>
                </c:pt>
                <c:pt idx="212">
                  <c:v>707630.38291247399</c:v>
                </c:pt>
                <c:pt idx="213">
                  <c:v>683003.21265389584</c:v>
                </c:pt>
                <c:pt idx="214">
                  <c:v>744254.55647465296</c:v>
                </c:pt>
                <c:pt idx="215">
                  <c:v>769292.91732602776</c:v>
                </c:pt>
                <c:pt idx="216">
                  <c:v>624145.72546355869</c:v>
                </c:pt>
                <c:pt idx="217">
                  <c:v>544357.66815353383</c:v>
                </c:pt>
                <c:pt idx="218">
                  <c:v>569661.59438291995</c:v>
                </c:pt>
                <c:pt idx="219">
                  <c:v>818441.48537247849</c:v>
                </c:pt>
                <c:pt idx="220">
                  <c:v>640364.37422468164</c:v>
                </c:pt>
                <c:pt idx="221">
                  <c:v>634906.69992495188</c:v>
                </c:pt>
                <c:pt idx="222">
                  <c:v>633798.33373015164</c:v>
                </c:pt>
                <c:pt idx="223">
                  <c:v>601822.15381677006</c:v>
                </c:pt>
                <c:pt idx="224">
                  <c:v>621769.60732919862</c:v>
                </c:pt>
                <c:pt idx="225">
                  <c:v>655223.58204979554</c:v>
                </c:pt>
                <c:pt idx="226">
                  <c:v>733771.86400957452</c:v>
                </c:pt>
                <c:pt idx="227">
                  <c:v>776209.19094097114</c:v>
                </c:pt>
                <c:pt idx="228">
                  <c:v>830480.31919007527</c:v>
                </c:pt>
                <c:pt idx="229">
                  <c:v>796827.74683921749</c:v>
                </c:pt>
                <c:pt idx="230">
                  <c:v>752978.30831515649</c:v>
                </c:pt>
                <c:pt idx="231">
                  <c:v>662646.31019808876</c:v>
                </c:pt>
                <c:pt idx="232">
                  <c:v>826583.52367025998</c:v>
                </c:pt>
                <c:pt idx="233">
                  <c:v>774424.05690826906</c:v>
                </c:pt>
                <c:pt idx="234">
                  <c:v>794672.33111003053</c:v>
                </c:pt>
                <c:pt idx="235">
                  <c:v>755762.01963280386</c:v>
                </c:pt>
                <c:pt idx="236">
                  <c:v>693584.18237431056</c:v>
                </c:pt>
                <c:pt idx="237">
                  <c:v>715055.30391500052</c:v>
                </c:pt>
                <c:pt idx="238">
                  <c:v>714669.60399271525</c:v>
                </c:pt>
                <c:pt idx="239">
                  <c:v>644627.56446959183</c:v>
                </c:pt>
                <c:pt idx="240">
                  <c:v>660640.50256423501</c:v>
                </c:pt>
                <c:pt idx="241">
                  <c:v>727441.87014798087</c:v>
                </c:pt>
                <c:pt idx="242">
                  <c:v>696636.30545426649</c:v>
                </c:pt>
                <c:pt idx="243">
                  <c:v>774233.03239338729</c:v>
                </c:pt>
                <c:pt idx="244">
                  <c:v>660390.75083705818</c:v>
                </c:pt>
                <c:pt idx="245">
                  <c:v>759290.52737036278</c:v>
                </c:pt>
                <c:pt idx="246">
                  <c:v>731802.89007023594</c:v>
                </c:pt>
                <c:pt idx="247">
                  <c:v>679141.65000455349</c:v>
                </c:pt>
                <c:pt idx="248">
                  <c:v>744792.67796403659</c:v>
                </c:pt>
                <c:pt idx="249">
                  <c:v>608844.00666046387</c:v>
                </c:pt>
                <c:pt idx="250">
                  <c:v>609193.25991791172</c:v>
                </c:pt>
                <c:pt idx="251">
                  <c:v>519631.21998928813</c:v>
                </c:pt>
                <c:pt idx="252">
                  <c:v>740390.68568281969</c:v>
                </c:pt>
                <c:pt idx="253">
                  <c:v>735507.47397072578</c:v>
                </c:pt>
                <c:pt idx="254">
                  <c:v>726390.8501480507</c:v>
                </c:pt>
                <c:pt idx="255">
                  <c:v>732730.07528951659</c:v>
                </c:pt>
                <c:pt idx="256">
                  <c:v>704994.82320537814</c:v>
                </c:pt>
                <c:pt idx="257">
                  <c:v>815169.00693746633</c:v>
                </c:pt>
                <c:pt idx="258">
                  <c:v>685669.64290958003</c:v>
                </c:pt>
                <c:pt idx="259">
                  <c:v>753415.95235509169</c:v>
                </c:pt>
                <c:pt idx="260">
                  <c:v>601024.08299667446</c:v>
                </c:pt>
                <c:pt idx="261">
                  <c:v>525364.4752257982</c:v>
                </c:pt>
                <c:pt idx="262">
                  <c:v>641410.62068783958</c:v>
                </c:pt>
                <c:pt idx="263">
                  <c:v>647781.97181673476</c:v>
                </c:pt>
                <c:pt idx="264">
                  <c:v>700365.62300061213</c:v>
                </c:pt>
                <c:pt idx="265">
                  <c:v>740889.96304342744</c:v>
                </c:pt>
                <c:pt idx="266">
                  <c:v>771437.24561019475</c:v>
                </c:pt>
                <c:pt idx="267">
                  <c:v>737636.25720211875</c:v>
                </c:pt>
                <c:pt idx="268">
                  <c:v>689224.48063145939</c:v>
                </c:pt>
                <c:pt idx="269">
                  <c:v>497843.92010521778</c:v>
                </c:pt>
                <c:pt idx="270">
                  <c:v>584825.52871016285</c:v>
                </c:pt>
                <c:pt idx="271">
                  <c:v>571804.51397681586</c:v>
                </c:pt>
                <c:pt idx="272">
                  <c:v>592415.17462585331</c:v>
                </c:pt>
                <c:pt idx="273">
                  <c:v>623381.04781998554</c:v>
                </c:pt>
                <c:pt idx="274">
                  <c:v>546722.00226627686</c:v>
                </c:pt>
                <c:pt idx="275">
                  <c:v>638263.59183913074</c:v>
                </c:pt>
                <c:pt idx="276">
                  <c:v>716285.36915543769</c:v>
                </c:pt>
                <c:pt idx="277">
                  <c:v>695897.08920224884</c:v>
                </c:pt>
                <c:pt idx="278">
                  <c:v>712992.4224638209</c:v>
                </c:pt>
                <c:pt idx="279">
                  <c:v>716312.77691430098</c:v>
                </c:pt>
                <c:pt idx="280">
                  <c:v>461902.63312603114</c:v>
                </c:pt>
                <c:pt idx="281">
                  <c:v>522528.84272827796</c:v>
                </c:pt>
                <c:pt idx="282">
                  <c:v>491463.27348161762</c:v>
                </c:pt>
                <c:pt idx="283">
                  <c:v>581525.7705891456</c:v>
                </c:pt>
                <c:pt idx="284">
                  <c:v>681608.81999623752</c:v>
                </c:pt>
                <c:pt idx="285">
                  <c:v>676291.91842128499</c:v>
                </c:pt>
                <c:pt idx="286">
                  <c:v>623678.6635733681</c:v>
                </c:pt>
                <c:pt idx="287">
                  <c:v>475939.16458057961</c:v>
                </c:pt>
                <c:pt idx="288">
                  <c:v>728066.83015402069</c:v>
                </c:pt>
                <c:pt idx="289">
                  <c:v>742247.70893739571</c:v>
                </c:pt>
                <c:pt idx="290">
                  <c:v>737941.99441227317</c:v>
                </c:pt>
                <c:pt idx="291">
                  <c:v>729926.18395466183</c:v>
                </c:pt>
                <c:pt idx="292">
                  <c:v>610737.23864119477</c:v>
                </c:pt>
                <c:pt idx="293">
                  <c:v>678694.957814425</c:v>
                </c:pt>
                <c:pt idx="294">
                  <c:v>699310.61826884048</c:v>
                </c:pt>
                <c:pt idx="295">
                  <c:v>629753.65374658559</c:v>
                </c:pt>
                <c:pt idx="296">
                  <c:v>629605.48005571414</c:v>
                </c:pt>
                <c:pt idx="297">
                  <c:v>641269.97670192493</c:v>
                </c:pt>
                <c:pt idx="298">
                  <c:v>573853.45478119608</c:v>
                </c:pt>
                <c:pt idx="299">
                  <c:v>812006.38338295068</c:v>
                </c:pt>
                <c:pt idx="300">
                  <c:v>684903.80615002406</c:v>
                </c:pt>
                <c:pt idx="301">
                  <c:v>677409.43004835176</c:v>
                </c:pt>
                <c:pt idx="302">
                  <c:v>531187.75132917636</c:v>
                </c:pt>
                <c:pt idx="303">
                  <c:v>723725.6656758826</c:v>
                </c:pt>
                <c:pt idx="304">
                  <c:v>593232.82231564308</c:v>
                </c:pt>
                <c:pt idx="305">
                  <c:v>669745.613501705</c:v>
                </c:pt>
              </c:numCache>
            </c:numRef>
          </c:xVal>
          <c:yVal>
            <c:numRef>
              <c:f>'8_Residual_Plots'!$AE$3:$AE$308</c:f>
              <c:numCache>
                <c:formatCode>General</c:formatCode>
                <c:ptCount val="306"/>
                <c:pt idx="0">
                  <c:v>-49680.537624998135</c:v>
                </c:pt>
                <c:pt idx="1">
                  <c:v>-69250.177018675371</c:v>
                </c:pt>
                <c:pt idx="2">
                  <c:v>-76734.391366635216</c:v>
                </c:pt>
                <c:pt idx="3">
                  <c:v>-100073.98542810034</c:v>
                </c:pt>
                <c:pt idx="4">
                  <c:v>67347.560987371136</c:v>
                </c:pt>
                <c:pt idx="5">
                  <c:v>9525.1958922346821</c:v>
                </c:pt>
                <c:pt idx="6">
                  <c:v>-26875.803571034339</c:v>
                </c:pt>
                <c:pt idx="7">
                  <c:v>-51501.187076047296</c:v>
                </c:pt>
                <c:pt idx="8">
                  <c:v>65084.856795304455</c:v>
                </c:pt>
                <c:pt idx="9">
                  <c:v>39262.868967796909</c:v>
                </c:pt>
                <c:pt idx="10">
                  <c:v>-20667.041699834052</c:v>
                </c:pt>
                <c:pt idx="11">
                  <c:v>-37354.446011813707</c:v>
                </c:pt>
                <c:pt idx="12">
                  <c:v>46705.57269064046</c:v>
                </c:pt>
                <c:pt idx="13">
                  <c:v>24979.964699626318</c:v>
                </c:pt>
                <c:pt idx="14">
                  <c:v>1209.7233720936347</c:v>
                </c:pt>
                <c:pt idx="15">
                  <c:v>-46137.172592498595</c:v>
                </c:pt>
                <c:pt idx="16">
                  <c:v>871.94657318433747</c:v>
                </c:pt>
                <c:pt idx="17">
                  <c:v>-13302.798916919506</c:v>
                </c:pt>
                <c:pt idx="18">
                  <c:v>-15055.009910619585</c:v>
                </c:pt>
                <c:pt idx="19">
                  <c:v>-18002.746371874702</c:v>
                </c:pt>
                <c:pt idx="20">
                  <c:v>32564.719624402525</c:v>
                </c:pt>
                <c:pt idx="21">
                  <c:v>19165.386066860287</c:v>
                </c:pt>
                <c:pt idx="22">
                  <c:v>2970.1351911805104</c:v>
                </c:pt>
                <c:pt idx="23">
                  <c:v>-79703.053787583893</c:v>
                </c:pt>
                <c:pt idx="24">
                  <c:v>2560.303801768343</c:v>
                </c:pt>
                <c:pt idx="25">
                  <c:v>-7911.1286866342416</c:v>
                </c:pt>
                <c:pt idx="26">
                  <c:v>-23735.882816962083</c:v>
                </c:pt>
                <c:pt idx="27">
                  <c:v>-99605.405984408688</c:v>
                </c:pt>
                <c:pt idx="28">
                  <c:v>9927.9007820731495</c:v>
                </c:pt>
                <c:pt idx="29">
                  <c:v>-13422.713836928015</c:v>
                </c:pt>
                <c:pt idx="30">
                  <c:v>-68912.243638864136</c:v>
                </c:pt>
                <c:pt idx="31">
                  <c:v>-73474.845655987447</c:v>
                </c:pt>
                <c:pt idx="32">
                  <c:v>-1238.7077299827943</c:v>
                </c:pt>
                <c:pt idx="33">
                  <c:v>-15835.705156568903</c:v>
                </c:pt>
                <c:pt idx="34">
                  <c:v>-101808.65683792846</c:v>
                </c:pt>
                <c:pt idx="35">
                  <c:v>42544.902861276292</c:v>
                </c:pt>
                <c:pt idx="36">
                  <c:v>-6356.9431400784524</c:v>
                </c:pt>
                <c:pt idx="37">
                  <c:v>-13333.137726692366</c:v>
                </c:pt>
                <c:pt idx="38">
                  <c:v>-44764.976981272688</c:v>
                </c:pt>
                <c:pt idx="39">
                  <c:v>59344.339884244837</c:v>
                </c:pt>
                <c:pt idx="40">
                  <c:v>1482.7750924983993</c:v>
                </c:pt>
                <c:pt idx="41">
                  <c:v>1148.7170852046693</c:v>
                </c:pt>
                <c:pt idx="42">
                  <c:v>-3376.1650782418437</c:v>
                </c:pt>
                <c:pt idx="43">
                  <c:v>39964.52967131394</c:v>
                </c:pt>
                <c:pt idx="44">
                  <c:v>21128.901718802168</c:v>
                </c:pt>
                <c:pt idx="45">
                  <c:v>-28275.760299330694</c:v>
                </c:pt>
                <c:pt idx="46">
                  <c:v>-122794.41528030939</c:v>
                </c:pt>
                <c:pt idx="47">
                  <c:v>30559.1724971066</c:v>
                </c:pt>
                <c:pt idx="48">
                  <c:v>6045.0109070880571</c:v>
                </c:pt>
                <c:pt idx="49">
                  <c:v>6027.8839647261193</c:v>
                </c:pt>
                <c:pt idx="50">
                  <c:v>-35682.02564467513</c:v>
                </c:pt>
                <c:pt idx="51">
                  <c:v>45752.853070729063</c:v>
                </c:pt>
                <c:pt idx="52">
                  <c:v>43788.497009951039</c:v>
                </c:pt>
                <c:pt idx="53">
                  <c:v>-41537.135390083014</c:v>
                </c:pt>
                <c:pt idx="54">
                  <c:v>-94227.501343322685</c:v>
                </c:pt>
                <c:pt idx="55">
                  <c:v>-26482.932523803203</c:v>
                </c:pt>
                <c:pt idx="56">
                  <c:v>-40156.765735731111</c:v>
                </c:pt>
                <c:pt idx="57">
                  <c:v>-69025.309485991136</c:v>
                </c:pt>
                <c:pt idx="58">
                  <c:v>-74526.90081554628</c:v>
                </c:pt>
                <c:pt idx="59">
                  <c:v>64999.303423480713</c:v>
                </c:pt>
                <c:pt idx="60">
                  <c:v>47756.259789772099</c:v>
                </c:pt>
                <c:pt idx="61">
                  <c:v>45370.495038007968</c:v>
                </c:pt>
                <c:pt idx="62">
                  <c:v>-12703.161725132144</c:v>
                </c:pt>
                <c:pt idx="63">
                  <c:v>7226.5442532198504</c:v>
                </c:pt>
                <c:pt idx="64">
                  <c:v>-16811.894073735573</c:v>
                </c:pt>
                <c:pt idx="65">
                  <c:v>-20601.329363838537</c:v>
                </c:pt>
                <c:pt idx="66">
                  <c:v>-157039.15363628534</c:v>
                </c:pt>
                <c:pt idx="67">
                  <c:v>62628.579057968687</c:v>
                </c:pt>
                <c:pt idx="68">
                  <c:v>5744.0969185226131</c:v>
                </c:pt>
                <c:pt idx="69">
                  <c:v>-32311.779510936874</c:v>
                </c:pt>
                <c:pt idx="70">
                  <c:v>86288.306959491223</c:v>
                </c:pt>
                <c:pt idx="71">
                  <c:v>17608.305863393936</c:v>
                </c:pt>
                <c:pt idx="72">
                  <c:v>-32665.934563565301</c:v>
                </c:pt>
                <c:pt idx="73">
                  <c:v>-62677.629790539853</c:v>
                </c:pt>
                <c:pt idx="74">
                  <c:v>53135.418420990929</c:v>
                </c:pt>
                <c:pt idx="75">
                  <c:v>36693.451922735898</c:v>
                </c:pt>
                <c:pt idx="76">
                  <c:v>-13049.892240008921</c:v>
                </c:pt>
                <c:pt idx="77">
                  <c:v>-23480.153280127444</c:v>
                </c:pt>
                <c:pt idx="78">
                  <c:v>81355.121071608737</c:v>
                </c:pt>
                <c:pt idx="79">
                  <c:v>50391.59678585385</c:v>
                </c:pt>
                <c:pt idx="80">
                  <c:v>8780.0590440838132</c:v>
                </c:pt>
                <c:pt idx="81">
                  <c:v>-22372.511227583396</c:v>
                </c:pt>
                <c:pt idx="82">
                  <c:v>18253.628682901501</c:v>
                </c:pt>
                <c:pt idx="83">
                  <c:v>-2516.4587597121135</c:v>
                </c:pt>
                <c:pt idx="84">
                  <c:v>-2919.4440425110515</c:v>
                </c:pt>
                <c:pt idx="85">
                  <c:v>30515.741748691187</c:v>
                </c:pt>
                <c:pt idx="86">
                  <c:v>24922.301057029632</c:v>
                </c:pt>
                <c:pt idx="87">
                  <c:v>22270.616531650303</c:v>
                </c:pt>
                <c:pt idx="88">
                  <c:v>-127556.87475767138</c:v>
                </c:pt>
                <c:pt idx="89">
                  <c:v>77893.726773065981</c:v>
                </c:pt>
                <c:pt idx="90">
                  <c:v>62559.501294856193</c:v>
                </c:pt>
                <c:pt idx="91">
                  <c:v>4046.2617802490713</c:v>
                </c:pt>
                <c:pt idx="92">
                  <c:v>-6725.4613630379317</c:v>
                </c:pt>
                <c:pt idx="93">
                  <c:v>73852.111001765472</c:v>
                </c:pt>
                <c:pt idx="94">
                  <c:v>22965.603689701413</c:v>
                </c:pt>
                <c:pt idx="95">
                  <c:v>-6897.1361379862064</c:v>
                </c:pt>
                <c:pt idx="96">
                  <c:v>87228.235952535295</c:v>
                </c:pt>
                <c:pt idx="97">
                  <c:v>37172.72680255014</c:v>
                </c:pt>
                <c:pt idx="98">
                  <c:v>24579.778789801407</c:v>
                </c:pt>
                <c:pt idx="99">
                  <c:v>-43525.702800548868</c:v>
                </c:pt>
                <c:pt idx="100">
                  <c:v>74299.425621442497</c:v>
                </c:pt>
                <c:pt idx="101">
                  <c:v>32662.674825021066</c:v>
                </c:pt>
                <c:pt idx="102">
                  <c:v>-4838.3066404705169</c:v>
                </c:pt>
                <c:pt idx="103">
                  <c:v>-5451.3775927684037</c:v>
                </c:pt>
                <c:pt idx="104">
                  <c:v>96009.534595897305</c:v>
                </c:pt>
                <c:pt idx="105">
                  <c:v>23787.146100508864</c:v>
                </c:pt>
                <c:pt idx="106">
                  <c:v>6427.5226663819049</c:v>
                </c:pt>
                <c:pt idx="107">
                  <c:v>-29875.107911597355</c:v>
                </c:pt>
                <c:pt idx="108">
                  <c:v>38798.005035553593</c:v>
                </c:pt>
                <c:pt idx="109">
                  <c:v>35385.376484090229</c:v>
                </c:pt>
                <c:pt idx="110">
                  <c:v>-40583.987417716067</c:v>
                </c:pt>
                <c:pt idx="111">
                  <c:v>-56757.913053375785</c:v>
                </c:pt>
                <c:pt idx="112">
                  <c:v>102834.38058484497</c:v>
                </c:pt>
                <c:pt idx="113">
                  <c:v>16339.297543642926</c:v>
                </c:pt>
                <c:pt idx="114">
                  <c:v>12912.469205884263</c:v>
                </c:pt>
                <c:pt idx="115">
                  <c:v>-55564.556826176937</c:v>
                </c:pt>
                <c:pt idx="116">
                  <c:v>28671.227210706798</c:v>
                </c:pt>
                <c:pt idx="117">
                  <c:v>-38271.04845812358</c:v>
                </c:pt>
                <c:pt idx="118">
                  <c:v>-53249.226002503245</c:v>
                </c:pt>
                <c:pt idx="119">
                  <c:v>-62138.196763766522</c:v>
                </c:pt>
                <c:pt idx="120">
                  <c:v>98907.057204291341</c:v>
                </c:pt>
                <c:pt idx="121">
                  <c:v>64031.286229580292</c:v>
                </c:pt>
                <c:pt idx="122">
                  <c:v>-653.40618626598734</c:v>
                </c:pt>
                <c:pt idx="123">
                  <c:v>-2515.5222211519722</c:v>
                </c:pt>
                <c:pt idx="124">
                  <c:v>20903.201020681881</c:v>
                </c:pt>
                <c:pt idx="125">
                  <c:v>-4522.4034115207614</c:v>
                </c:pt>
                <c:pt idx="126">
                  <c:v>-17742.723747678683</c:v>
                </c:pt>
                <c:pt idx="127">
                  <c:v>-66715.722885209485</c:v>
                </c:pt>
                <c:pt idx="128">
                  <c:v>-7028.1929512021597</c:v>
                </c:pt>
                <c:pt idx="129">
                  <c:v>-15064.22103983094</c:v>
                </c:pt>
                <c:pt idx="130">
                  <c:v>-53174.665273904218</c:v>
                </c:pt>
                <c:pt idx="131">
                  <c:v>73056.89171947015</c:v>
                </c:pt>
                <c:pt idx="132">
                  <c:v>40332.238974861451</c:v>
                </c:pt>
                <c:pt idx="133">
                  <c:v>29182.019574787701</c:v>
                </c:pt>
                <c:pt idx="134">
                  <c:v>49338.944976333063</c:v>
                </c:pt>
                <c:pt idx="135">
                  <c:v>42972.990386574646</c:v>
                </c:pt>
                <c:pt idx="136">
                  <c:v>23866.484064046293</c:v>
                </c:pt>
                <c:pt idx="137">
                  <c:v>20143.371508562821</c:v>
                </c:pt>
                <c:pt idx="138">
                  <c:v>3416.6311409852933</c:v>
                </c:pt>
                <c:pt idx="139">
                  <c:v>1993.8861338867573</c:v>
                </c:pt>
                <c:pt idx="140">
                  <c:v>-27617.127610863303</c:v>
                </c:pt>
                <c:pt idx="141">
                  <c:v>-32945.595924485591</c:v>
                </c:pt>
                <c:pt idx="142">
                  <c:v>28731.709847666672</c:v>
                </c:pt>
                <c:pt idx="143">
                  <c:v>24113.239108600887</c:v>
                </c:pt>
                <c:pt idx="144">
                  <c:v>1305.3082858884009</c:v>
                </c:pt>
                <c:pt idx="145">
                  <c:v>-35114.756977404119</c:v>
                </c:pt>
                <c:pt idx="146">
                  <c:v>7993.3430797405308</c:v>
                </c:pt>
                <c:pt idx="147">
                  <c:v>-2821.7877386563923</c:v>
                </c:pt>
                <c:pt idx="148">
                  <c:v>-14809.345558531932</c:v>
                </c:pt>
                <c:pt idx="149">
                  <c:v>-44323.13082283095</c:v>
                </c:pt>
                <c:pt idx="150">
                  <c:v>57413.521673870855</c:v>
                </c:pt>
                <c:pt idx="151">
                  <c:v>46684.565787787782</c:v>
                </c:pt>
                <c:pt idx="152">
                  <c:v>-18141.227376132621</c:v>
                </c:pt>
                <c:pt idx="153">
                  <c:v>-44542.061192927067</c:v>
                </c:pt>
                <c:pt idx="154">
                  <c:v>79316.964016957674</c:v>
                </c:pt>
                <c:pt idx="155">
                  <c:v>-2607.1332345826086</c:v>
                </c:pt>
                <c:pt idx="156">
                  <c:v>-45847.605092511862</c:v>
                </c:pt>
                <c:pt idx="157">
                  <c:v>39117.188438649173</c:v>
                </c:pt>
                <c:pt idx="158">
                  <c:v>3367.9422680240823</c:v>
                </c:pt>
                <c:pt idx="159">
                  <c:v>-16912.692099995329</c:v>
                </c:pt>
                <c:pt idx="160">
                  <c:v>-30511.393127313349</c:v>
                </c:pt>
                <c:pt idx="161">
                  <c:v>40928.043923206045</c:v>
                </c:pt>
                <c:pt idx="162">
                  <c:v>-6073.4800182379549</c:v>
                </c:pt>
                <c:pt idx="163">
                  <c:v>-24175.632932366105</c:v>
                </c:pt>
                <c:pt idx="164">
                  <c:v>-69512.079541153973</c:v>
                </c:pt>
                <c:pt idx="165">
                  <c:v>14422.653989741928</c:v>
                </c:pt>
                <c:pt idx="166">
                  <c:v>-13408.162469078321</c:v>
                </c:pt>
                <c:pt idx="167">
                  <c:v>-19555.794007915072</c:v>
                </c:pt>
                <c:pt idx="168">
                  <c:v>-31630.659307277994</c:v>
                </c:pt>
                <c:pt idx="169">
                  <c:v>61488.396917337668</c:v>
                </c:pt>
                <c:pt idx="170">
                  <c:v>48297.465689202189</c:v>
                </c:pt>
                <c:pt idx="171">
                  <c:v>20025.927207712899</c:v>
                </c:pt>
                <c:pt idx="172">
                  <c:v>5492.9945907250512</c:v>
                </c:pt>
                <c:pt idx="173">
                  <c:v>12125.373518692446</c:v>
                </c:pt>
                <c:pt idx="174">
                  <c:v>10325.013824371505</c:v>
                </c:pt>
                <c:pt idx="175">
                  <c:v>9106.643227724242</c:v>
                </c:pt>
                <c:pt idx="176">
                  <c:v>2483.444258065545</c:v>
                </c:pt>
                <c:pt idx="177">
                  <c:v>62564.711032045307</c:v>
                </c:pt>
                <c:pt idx="178">
                  <c:v>21774.114235984744</c:v>
                </c:pt>
                <c:pt idx="179">
                  <c:v>2383.3120937750209</c:v>
                </c:pt>
                <c:pt idx="180">
                  <c:v>-19502.644111559959</c:v>
                </c:pt>
                <c:pt idx="181">
                  <c:v>28382.252373300144</c:v>
                </c:pt>
                <c:pt idx="182">
                  <c:v>1153.2911228263984</c:v>
                </c:pt>
                <c:pt idx="183">
                  <c:v>-19354.460135680507</c:v>
                </c:pt>
                <c:pt idx="184">
                  <c:v>-51588.375398804899</c:v>
                </c:pt>
                <c:pt idx="185">
                  <c:v>7562.2299935095944</c:v>
                </c:pt>
                <c:pt idx="186">
                  <c:v>-650.50976171228103</c:v>
                </c:pt>
                <c:pt idx="187">
                  <c:v>-36828.556915217661</c:v>
                </c:pt>
                <c:pt idx="188">
                  <c:v>94865.730189869879</c:v>
                </c:pt>
                <c:pt idx="189">
                  <c:v>54968.444559744676</c:v>
                </c:pt>
                <c:pt idx="190">
                  <c:v>-18640.693826740608</c:v>
                </c:pt>
                <c:pt idx="191">
                  <c:v>-28008.89844505291</c:v>
                </c:pt>
                <c:pt idx="192">
                  <c:v>78975.694711311604</c:v>
                </c:pt>
                <c:pt idx="193">
                  <c:v>-32734.376311062952</c:v>
                </c:pt>
                <c:pt idx="194">
                  <c:v>-43894.872521363548</c:v>
                </c:pt>
                <c:pt idx="195">
                  <c:v>-66415.654531581444</c:v>
                </c:pt>
                <c:pt idx="196">
                  <c:v>43865.943225565599</c:v>
                </c:pt>
                <c:pt idx="197">
                  <c:v>-26775.552738872357</c:v>
                </c:pt>
                <c:pt idx="198">
                  <c:v>-75059.613173168502</c:v>
                </c:pt>
                <c:pt idx="199">
                  <c:v>-90624.068781466573</c:v>
                </c:pt>
                <c:pt idx="200">
                  <c:v>3406.358946463326</c:v>
                </c:pt>
                <c:pt idx="201">
                  <c:v>-16436.163615425699</c:v>
                </c:pt>
                <c:pt idx="202">
                  <c:v>-21066.719955909648</c:v>
                </c:pt>
                <c:pt idx="203">
                  <c:v>-82856.15077179519</c:v>
                </c:pt>
                <c:pt idx="204">
                  <c:v>52932.841322684777</c:v>
                </c:pt>
                <c:pt idx="205">
                  <c:v>46966.541623145225</c:v>
                </c:pt>
                <c:pt idx="206">
                  <c:v>24684.954900109908</c:v>
                </c:pt>
                <c:pt idx="207">
                  <c:v>503.88243091921322</c:v>
                </c:pt>
                <c:pt idx="208">
                  <c:v>36666.84985110932</c:v>
                </c:pt>
                <c:pt idx="209">
                  <c:v>10899.702193848323</c:v>
                </c:pt>
                <c:pt idx="210">
                  <c:v>-8150.4398268886143</c:v>
                </c:pt>
                <c:pt idx="211">
                  <c:v>-12627.40953625273</c:v>
                </c:pt>
                <c:pt idx="212">
                  <c:v>4589.42708752607</c:v>
                </c:pt>
                <c:pt idx="213">
                  <c:v>-10332.672653895803</c:v>
                </c:pt>
                <c:pt idx="214">
                  <c:v>-11586.636474652914</c:v>
                </c:pt>
                <c:pt idx="215">
                  <c:v>-45761.517326027737</c:v>
                </c:pt>
                <c:pt idx="216">
                  <c:v>17418.87453644129</c:v>
                </c:pt>
                <c:pt idx="217">
                  <c:v>-7812.1781535338378</c:v>
                </c:pt>
                <c:pt idx="218">
                  <c:v>-41980.034382919897</c:v>
                </c:pt>
                <c:pt idx="219">
                  <c:v>52495.914627521532</c:v>
                </c:pt>
                <c:pt idx="220">
                  <c:v>-43395.104224681621</c:v>
                </c:pt>
                <c:pt idx="221">
                  <c:v>-63943.389924951829</c:v>
                </c:pt>
                <c:pt idx="222">
                  <c:v>89506.776269848342</c:v>
                </c:pt>
                <c:pt idx="223">
                  <c:v>56249.98618322995</c:v>
                </c:pt>
                <c:pt idx="224">
                  <c:v>18896.922670801403</c:v>
                </c:pt>
                <c:pt idx="225">
                  <c:v>15405.897950204439</c:v>
                </c:pt>
                <c:pt idx="226">
                  <c:v>3298.3159904255299</c:v>
                </c:pt>
                <c:pt idx="227">
                  <c:v>-14289.940940971137</c:v>
                </c:pt>
                <c:pt idx="228">
                  <c:v>-20125.299190075253</c:v>
                </c:pt>
                <c:pt idx="229">
                  <c:v>-75748.396839217516</c:v>
                </c:pt>
                <c:pt idx="230">
                  <c:v>24014.621684843558</c:v>
                </c:pt>
                <c:pt idx="231">
                  <c:v>13691.099801911274</c:v>
                </c:pt>
                <c:pt idx="232">
                  <c:v>1636.1463297400624</c:v>
                </c:pt>
                <c:pt idx="233">
                  <c:v>-11264.136908269022</c:v>
                </c:pt>
                <c:pt idx="234">
                  <c:v>7329.3488899695221</c:v>
                </c:pt>
                <c:pt idx="235">
                  <c:v>-5290.6796328038909</c:v>
                </c:pt>
                <c:pt idx="236">
                  <c:v>-13695.442374310573</c:v>
                </c:pt>
                <c:pt idx="237">
                  <c:v>-35824.443915000535</c:v>
                </c:pt>
                <c:pt idx="238">
                  <c:v>14770.846007284708</c:v>
                </c:pt>
                <c:pt idx="239">
                  <c:v>3326.2155304081971</c:v>
                </c:pt>
                <c:pt idx="240">
                  <c:v>-17889.082564234966</c:v>
                </c:pt>
                <c:pt idx="241">
                  <c:v>71605.069852019078</c:v>
                </c:pt>
                <c:pt idx="242">
                  <c:v>23443.234545733547</c:v>
                </c:pt>
                <c:pt idx="243">
                  <c:v>-9284.032393387286</c:v>
                </c:pt>
                <c:pt idx="244">
                  <c:v>-48000.610837058164</c:v>
                </c:pt>
                <c:pt idx="245">
                  <c:v>80817.59262963722</c:v>
                </c:pt>
                <c:pt idx="246">
                  <c:v>44307.42992976401</c:v>
                </c:pt>
                <c:pt idx="247">
                  <c:v>18746.439995446475</c:v>
                </c:pt>
                <c:pt idx="248">
                  <c:v>1322.9120359633816</c:v>
                </c:pt>
                <c:pt idx="249">
                  <c:v>68796.643339536153</c:v>
                </c:pt>
                <c:pt idx="250">
                  <c:v>27419.970082088257</c:v>
                </c:pt>
                <c:pt idx="251">
                  <c:v>9221.4000107118627</c:v>
                </c:pt>
                <c:pt idx="252">
                  <c:v>27402.254317180254</c:v>
                </c:pt>
                <c:pt idx="253">
                  <c:v>26820.836029274273</c:v>
                </c:pt>
                <c:pt idx="254">
                  <c:v>19189.659851949313</c:v>
                </c:pt>
                <c:pt idx="255">
                  <c:v>-23744.885289516649</c:v>
                </c:pt>
                <c:pt idx="256">
                  <c:v>34379.736794621916</c:v>
                </c:pt>
                <c:pt idx="257">
                  <c:v>-15412.546937466366</c:v>
                </c:pt>
                <c:pt idx="258">
                  <c:v>-92326.642909580027</c:v>
                </c:pt>
                <c:pt idx="259">
                  <c:v>-92781.962355091702</c:v>
                </c:pt>
                <c:pt idx="260">
                  <c:v>85713.787003325531</c:v>
                </c:pt>
                <c:pt idx="261">
                  <c:v>36232.854774201754</c:v>
                </c:pt>
                <c:pt idx="262">
                  <c:v>3629.3493121603969</c:v>
                </c:pt>
                <c:pt idx="263">
                  <c:v>-11944.231816734769</c:v>
                </c:pt>
                <c:pt idx="264">
                  <c:v>38182.796999387909</c:v>
                </c:pt>
                <c:pt idx="265">
                  <c:v>15729.806956572575</c:v>
                </c:pt>
                <c:pt idx="266">
                  <c:v>-10314.825610194704</c:v>
                </c:pt>
                <c:pt idx="267">
                  <c:v>-64559.917202118784</c:v>
                </c:pt>
                <c:pt idx="268">
                  <c:v>24859.199368540663</c:v>
                </c:pt>
                <c:pt idx="269">
                  <c:v>-404.1001052177744</c:v>
                </c:pt>
                <c:pt idx="270">
                  <c:v>-29267.758710162831</c:v>
                </c:pt>
                <c:pt idx="271">
                  <c:v>-46904.943976815906</c:v>
                </c:pt>
                <c:pt idx="272">
                  <c:v>17533.825374146691</c:v>
                </c:pt>
                <c:pt idx="273">
                  <c:v>9628.4821800144855</c:v>
                </c:pt>
                <c:pt idx="274">
                  <c:v>1381.6977337230928</c:v>
                </c:pt>
                <c:pt idx="275">
                  <c:v>-1487.9318391307024</c:v>
                </c:pt>
                <c:pt idx="276">
                  <c:v>97031.340844562277</c:v>
                </c:pt>
                <c:pt idx="277">
                  <c:v>33527.330797751201</c:v>
                </c:pt>
                <c:pt idx="278">
                  <c:v>-10923.502463820856</c:v>
                </c:pt>
                <c:pt idx="279">
                  <c:v>-20051.286914300988</c:v>
                </c:pt>
                <c:pt idx="280">
                  <c:v>25835.626873968868</c:v>
                </c:pt>
                <c:pt idx="281">
                  <c:v>10592.41727172205</c:v>
                </c:pt>
                <c:pt idx="282">
                  <c:v>7507.0465183823835</c:v>
                </c:pt>
                <c:pt idx="283">
                  <c:v>-35302.070589145645</c:v>
                </c:pt>
                <c:pt idx="284">
                  <c:v>81553.630003762431</c:v>
                </c:pt>
                <c:pt idx="285">
                  <c:v>-7832.5484212849988</c:v>
                </c:pt>
                <c:pt idx="286">
                  <c:v>-24661.333573368145</c:v>
                </c:pt>
                <c:pt idx="287">
                  <c:v>-74356.584580579598</c:v>
                </c:pt>
                <c:pt idx="288">
                  <c:v>52514.119845979265</c:v>
                </c:pt>
                <c:pt idx="289">
                  <c:v>-11357.698937395704</c:v>
                </c:pt>
                <c:pt idx="290">
                  <c:v>-13595.264412273187</c:v>
                </c:pt>
                <c:pt idx="291">
                  <c:v>-26113.193954661838</c:v>
                </c:pt>
                <c:pt idx="292">
                  <c:v>54605.251358805224</c:v>
                </c:pt>
                <c:pt idx="293">
                  <c:v>49262.522185574984</c:v>
                </c:pt>
                <c:pt idx="294">
                  <c:v>-48146.438268840429</c:v>
                </c:pt>
                <c:pt idx="295">
                  <c:v>-91377.653746585594</c:v>
                </c:pt>
                <c:pt idx="296">
                  <c:v>-7928.1800557140959</c:v>
                </c:pt>
                <c:pt idx="297">
                  <c:v>-12731.67670192488</c:v>
                </c:pt>
                <c:pt idx="298">
                  <c:v>-37328.614781196113</c:v>
                </c:pt>
                <c:pt idx="299">
                  <c:v>32704.286617049365</c:v>
                </c:pt>
                <c:pt idx="300">
                  <c:v>27471.96384997596</c:v>
                </c:pt>
                <c:pt idx="301">
                  <c:v>24643.039951648214</c:v>
                </c:pt>
                <c:pt idx="302">
                  <c:v>5657.6686708236812</c:v>
                </c:pt>
                <c:pt idx="303">
                  <c:v>3050.5543241173727</c:v>
                </c:pt>
                <c:pt idx="304">
                  <c:v>-33571.982315643108</c:v>
                </c:pt>
                <c:pt idx="305">
                  <c:v>-49481.413501705043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C8-4950-AE1D-9DE5A77A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154416"/>
        <c:axId val="1470155376"/>
      </c:scatterChart>
      <c:valAx>
        <c:axId val="1470154416"/>
        <c:scaling>
          <c:orientation val="minMax"/>
          <c:min val="4000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55376"/>
        <c:crosses val="autoZero"/>
        <c:crossBetween val="midCat"/>
      </c:valAx>
      <c:valAx>
        <c:axId val="147015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5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Simple Regression:</a:t>
            </a:r>
            <a:r>
              <a:rPr lang="en-US"/>
              <a:t> monthly_sales</a:t>
            </a:r>
            <a:r>
              <a:rPr lang="en-US" baseline="0"/>
              <a:t> ($) vs footfall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'8_Residual_Plots'!$AI$2</c:f>
              <c:strCache>
                <c:ptCount val="1"/>
                <c:pt idx="0">
                  <c:v>footfall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accent6">
                    <a:lumMod val="50000"/>
                  </a:schemeClr>
                </a:solidFill>
                <a:prstDash val="solid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'8_Residual_Plots'!$AH$3:$AH$308</c:f>
              <c:numCache>
                <c:formatCode>General</c:formatCode>
                <c:ptCount val="306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798952.17</c:v>
                </c:pt>
                <c:pt idx="34">
                  <c:v>800979.78</c:v>
                </c:pt>
                <c:pt idx="35">
                  <c:v>820593.93</c:v>
                </c:pt>
                <c:pt idx="36">
                  <c:v>718330.53</c:v>
                </c:pt>
                <c:pt idx="37">
                  <c:v>736633.4</c:v>
                </c:pt>
                <c:pt idx="38">
                  <c:v>828623.85</c:v>
                </c:pt>
                <c:pt idx="39">
                  <c:v>592195.85</c:v>
                </c:pt>
                <c:pt idx="40">
                  <c:v>532644.46</c:v>
                </c:pt>
                <c:pt idx="41">
                  <c:v>657429.18000000005</c:v>
                </c:pt>
                <c:pt idx="42">
                  <c:v>605178</c:v>
                </c:pt>
                <c:pt idx="43">
                  <c:v>595467.6</c:v>
                </c:pt>
                <c:pt idx="44">
                  <c:v>599603.4</c:v>
                </c:pt>
                <c:pt idx="45">
                  <c:v>614800.09</c:v>
                </c:pt>
                <c:pt idx="46">
                  <c:v>585365.73</c:v>
                </c:pt>
                <c:pt idx="47">
                  <c:v>622811.74</c:v>
                </c:pt>
                <c:pt idx="48">
                  <c:v>603297.56999999995</c:v>
                </c:pt>
                <c:pt idx="49">
                  <c:v>625672.86</c:v>
                </c:pt>
                <c:pt idx="50">
                  <c:v>773815.14</c:v>
                </c:pt>
                <c:pt idx="51">
                  <c:v>463534.25</c:v>
                </c:pt>
                <c:pt idx="52">
                  <c:v>746677.75</c:v>
                </c:pt>
                <c:pt idx="53">
                  <c:v>720852.5</c:v>
                </c:pt>
                <c:pt idx="54">
                  <c:v>487464.91</c:v>
                </c:pt>
                <c:pt idx="55">
                  <c:v>518049.26</c:v>
                </c:pt>
                <c:pt idx="56">
                  <c:v>500298.48</c:v>
                </c:pt>
                <c:pt idx="57">
                  <c:v>617291.15</c:v>
                </c:pt>
                <c:pt idx="58">
                  <c:v>553756.43000000005</c:v>
                </c:pt>
                <c:pt idx="59">
                  <c:v>749559.71</c:v>
                </c:pt>
                <c:pt idx="60">
                  <c:v>615966.48</c:v>
                </c:pt>
                <c:pt idx="61">
                  <c:v>572011.19999999995</c:v>
                </c:pt>
                <c:pt idx="62">
                  <c:v>761860.19</c:v>
                </c:pt>
                <c:pt idx="63">
                  <c:v>784502.68</c:v>
                </c:pt>
                <c:pt idx="64">
                  <c:v>717141.55</c:v>
                </c:pt>
                <c:pt idx="65">
                  <c:v>685379.08</c:v>
                </c:pt>
                <c:pt idx="66">
                  <c:v>740496.65</c:v>
                </c:pt>
                <c:pt idx="67">
                  <c:v>661927.14</c:v>
                </c:pt>
                <c:pt idx="68">
                  <c:v>479050.5</c:v>
                </c:pt>
                <c:pt idx="69">
                  <c:v>605023.87</c:v>
                </c:pt>
                <c:pt idx="70">
                  <c:v>616069.41</c:v>
                </c:pt>
                <c:pt idx="71">
                  <c:v>630829.93999999994</c:v>
                </c:pt>
                <c:pt idx="72">
                  <c:v>788087.68</c:v>
                </c:pt>
                <c:pt idx="73">
                  <c:v>680840.36</c:v>
                </c:pt>
                <c:pt idx="74">
                  <c:v>643657.47</c:v>
                </c:pt>
                <c:pt idx="75">
                  <c:v>691112.6</c:v>
                </c:pt>
                <c:pt idx="76">
                  <c:v>776922.17</c:v>
                </c:pt>
                <c:pt idx="77">
                  <c:v>636561.34</c:v>
                </c:pt>
                <c:pt idx="78">
                  <c:v>621369.57999999996</c:v>
                </c:pt>
                <c:pt idx="79">
                  <c:v>682208.01</c:v>
                </c:pt>
                <c:pt idx="80">
                  <c:v>727241.86</c:v>
                </c:pt>
                <c:pt idx="81">
                  <c:v>569100.78</c:v>
                </c:pt>
                <c:pt idx="82">
                  <c:v>574436.29</c:v>
                </c:pt>
                <c:pt idx="83">
                  <c:v>614596.31999999995</c:v>
                </c:pt>
                <c:pt idx="84">
                  <c:v>450711.92</c:v>
                </c:pt>
                <c:pt idx="85">
                  <c:v>711213.46</c:v>
                </c:pt>
                <c:pt idx="86">
                  <c:v>627171.9</c:v>
                </c:pt>
                <c:pt idx="87">
                  <c:v>739852.58</c:v>
                </c:pt>
                <c:pt idx="88">
                  <c:v>586307.22</c:v>
                </c:pt>
                <c:pt idx="89">
                  <c:v>585937.48</c:v>
                </c:pt>
                <c:pt idx="90">
                  <c:v>753473.55</c:v>
                </c:pt>
                <c:pt idx="91">
                  <c:v>838250.32</c:v>
                </c:pt>
                <c:pt idx="92">
                  <c:v>607898.12</c:v>
                </c:pt>
                <c:pt idx="93">
                  <c:v>691113.62</c:v>
                </c:pt>
                <c:pt idx="94">
                  <c:v>735509.4</c:v>
                </c:pt>
                <c:pt idx="95">
                  <c:v>675177.68</c:v>
                </c:pt>
                <c:pt idx="96">
                  <c:v>635181.35</c:v>
                </c:pt>
                <c:pt idx="97">
                  <c:v>586626.93999999994</c:v>
                </c:pt>
                <c:pt idx="98">
                  <c:v>740102.64</c:v>
                </c:pt>
                <c:pt idx="99">
                  <c:v>625514.04</c:v>
                </c:pt>
                <c:pt idx="100">
                  <c:v>727227.2</c:v>
                </c:pt>
                <c:pt idx="101">
                  <c:v>783797.89</c:v>
                </c:pt>
                <c:pt idx="102">
                  <c:v>795153.84</c:v>
                </c:pt>
                <c:pt idx="103">
                  <c:v>665594.93999999994</c:v>
                </c:pt>
                <c:pt idx="104">
                  <c:v>709478.39</c:v>
                </c:pt>
                <c:pt idx="105">
                  <c:v>664162.49</c:v>
                </c:pt>
                <c:pt idx="106">
                  <c:v>633494.21</c:v>
                </c:pt>
                <c:pt idx="107">
                  <c:v>713611.16</c:v>
                </c:pt>
                <c:pt idx="108">
                  <c:v>778397.97</c:v>
                </c:pt>
                <c:pt idx="109">
                  <c:v>873380.02</c:v>
                </c:pt>
                <c:pt idx="110">
                  <c:v>697287.9</c:v>
                </c:pt>
                <c:pt idx="111">
                  <c:v>718074.79</c:v>
                </c:pt>
                <c:pt idx="112">
                  <c:v>714942.43</c:v>
                </c:pt>
                <c:pt idx="113">
                  <c:v>820519.04</c:v>
                </c:pt>
                <c:pt idx="114">
                  <c:v>684217.32</c:v>
                </c:pt>
                <c:pt idx="115">
                  <c:v>735480.19</c:v>
                </c:pt>
                <c:pt idx="116">
                  <c:v>509484.81</c:v>
                </c:pt>
                <c:pt idx="117">
                  <c:v>654317.09</c:v>
                </c:pt>
                <c:pt idx="118">
                  <c:v>557487.26</c:v>
                </c:pt>
                <c:pt idx="119">
                  <c:v>441275.42</c:v>
                </c:pt>
                <c:pt idx="120">
                  <c:v>914544.17</c:v>
                </c:pt>
                <c:pt idx="121">
                  <c:v>842439.67</c:v>
                </c:pt>
                <c:pt idx="122">
                  <c:v>842157.92</c:v>
                </c:pt>
                <c:pt idx="123">
                  <c:v>697155.3</c:v>
                </c:pt>
                <c:pt idx="124">
                  <c:v>849018.3</c:v>
                </c:pt>
                <c:pt idx="125">
                  <c:v>801830.35</c:v>
                </c:pt>
                <c:pt idx="126">
                  <c:v>725235.28</c:v>
                </c:pt>
                <c:pt idx="127">
                  <c:v>811452.72</c:v>
                </c:pt>
                <c:pt idx="128">
                  <c:v>527300.13</c:v>
                </c:pt>
                <c:pt idx="129">
                  <c:v>593247.25</c:v>
                </c:pt>
                <c:pt idx="130">
                  <c:v>529075.94999999995</c:v>
                </c:pt>
                <c:pt idx="131">
                  <c:v>743348.84</c:v>
                </c:pt>
                <c:pt idx="132">
                  <c:v>758827.64</c:v>
                </c:pt>
                <c:pt idx="133">
                  <c:v>646559.71</c:v>
                </c:pt>
                <c:pt idx="134">
                  <c:v>715890.53</c:v>
                </c:pt>
                <c:pt idx="135">
                  <c:v>715097.57</c:v>
                </c:pt>
                <c:pt idx="136">
                  <c:v>682639.28</c:v>
                </c:pt>
                <c:pt idx="137">
                  <c:v>695098.51</c:v>
                </c:pt>
                <c:pt idx="138">
                  <c:v>577732.56999999995</c:v>
                </c:pt>
                <c:pt idx="139">
                  <c:v>537058.32999999996</c:v>
                </c:pt>
                <c:pt idx="140">
                  <c:v>601568.87</c:v>
                </c:pt>
                <c:pt idx="141">
                  <c:v>570964.84</c:v>
                </c:pt>
                <c:pt idx="142">
                  <c:v>614024.91</c:v>
                </c:pt>
                <c:pt idx="143">
                  <c:v>712868.35</c:v>
                </c:pt>
                <c:pt idx="144">
                  <c:v>696744.15</c:v>
                </c:pt>
                <c:pt idx="145">
                  <c:v>725847.99</c:v>
                </c:pt>
                <c:pt idx="146">
                  <c:v>785028.25</c:v>
                </c:pt>
                <c:pt idx="147">
                  <c:v>698492.67</c:v>
                </c:pt>
                <c:pt idx="148">
                  <c:v>685830.24</c:v>
                </c:pt>
                <c:pt idx="149">
                  <c:v>702318.94</c:v>
                </c:pt>
                <c:pt idx="150">
                  <c:v>700078.32</c:v>
                </c:pt>
                <c:pt idx="151">
                  <c:v>602002.31999999995</c:v>
                </c:pt>
                <c:pt idx="152">
                  <c:v>724216.07</c:v>
                </c:pt>
                <c:pt idx="153">
                  <c:v>620973.03</c:v>
                </c:pt>
                <c:pt idx="154">
                  <c:v>650480.06000000006</c:v>
                </c:pt>
                <c:pt idx="155">
                  <c:v>778298.88</c:v>
                </c:pt>
                <c:pt idx="156">
                  <c:v>692008.64</c:v>
                </c:pt>
                <c:pt idx="157">
                  <c:v>825797.91</c:v>
                </c:pt>
                <c:pt idx="158">
                  <c:v>706285.52</c:v>
                </c:pt>
                <c:pt idx="159">
                  <c:v>665534.69999999995</c:v>
                </c:pt>
                <c:pt idx="160">
                  <c:v>820729.29</c:v>
                </c:pt>
                <c:pt idx="161">
                  <c:v>739831.73</c:v>
                </c:pt>
                <c:pt idx="162">
                  <c:v>593637.14</c:v>
                </c:pt>
                <c:pt idx="163">
                  <c:v>769702.76</c:v>
                </c:pt>
                <c:pt idx="164">
                  <c:v>679731.57</c:v>
                </c:pt>
                <c:pt idx="165">
                  <c:v>780344.18</c:v>
                </c:pt>
                <c:pt idx="166">
                  <c:v>721364.11</c:v>
                </c:pt>
                <c:pt idx="167">
                  <c:v>758138.29</c:v>
                </c:pt>
                <c:pt idx="168">
                  <c:v>804264</c:v>
                </c:pt>
                <c:pt idx="169">
                  <c:v>887537.75</c:v>
                </c:pt>
                <c:pt idx="170">
                  <c:v>783582</c:v>
                </c:pt>
                <c:pt idx="171">
                  <c:v>781955.52</c:v>
                </c:pt>
                <c:pt idx="172">
                  <c:v>898031.04</c:v>
                </c:pt>
                <c:pt idx="173">
                  <c:v>855341.28</c:v>
                </c:pt>
                <c:pt idx="174">
                  <c:v>751393.88</c:v>
                </c:pt>
                <c:pt idx="175">
                  <c:v>761077.08</c:v>
                </c:pt>
                <c:pt idx="176">
                  <c:v>819660.59</c:v>
                </c:pt>
                <c:pt idx="177">
                  <c:v>681855.56</c:v>
                </c:pt>
                <c:pt idx="178">
                  <c:v>678311.17</c:v>
                </c:pt>
                <c:pt idx="179">
                  <c:v>765906.95</c:v>
                </c:pt>
                <c:pt idx="180">
                  <c:v>712546.38</c:v>
                </c:pt>
                <c:pt idx="181">
                  <c:v>625993.82999999996</c:v>
                </c:pt>
                <c:pt idx="182">
                  <c:v>550962.93000000005</c:v>
                </c:pt>
                <c:pt idx="183">
                  <c:v>443275.59</c:v>
                </c:pt>
                <c:pt idx="184">
                  <c:v>554012.06999999995</c:v>
                </c:pt>
                <c:pt idx="185">
                  <c:v>643428.85</c:v>
                </c:pt>
                <c:pt idx="186">
                  <c:v>611924.27</c:v>
                </c:pt>
                <c:pt idx="187">
                  <c:v>559422.02</c:v>
                </c:pt>
                <c:pt idx="188">
                  <c:v>691447.43</c:v>
                </c:pt>
                <c:pt idx="189">
                  <c:v>574066.61</c:v>
                </c:pt>
                <c:pt idx="190">
                  <c:v>578949.84</c:v>
                </c:pt>
                <c:pt idx="191">
                  <c:v>735786.64</c:v>
                </c:pt>
                <c:pt idx="192">
                  <c:v>598904.9</c:v>
                </c:pt>
                <c:pt idx="193">
                  <c:v>787715.51</c:v>
                </c:pt>
                <c:pt idx="194">
                  <c:v>607084.92000000004</c:v>
                </c:pt>
                <c:pt idx="195">
                  <c:v>650795.49</c:v>
                </c:pt>
                <c:pt idx="196">
                  <c:v>825060.52</c:v>
                </c:pt>
                <c:pt idx="197">
                  <c:v>795464.47</c:v>
                </c:pt>
                <c:pt idx="198">
                  <c:v>671868.59</c:v>
                </c:pt>
                <c:pt idx="199">
                  <c:v>675917.63</c:v>
                </c:pt>
                <c:pt idx="200">
                  <c:v>810446.53</c:v>
                </c:pt>
                <c:pt idx="201">
                  <c:v>691288.19</c:v>
                </c:pt>
                <c:pt idx="202">
                  <c:v>946833.54</c:v>
                </c:pt>
                <c:pt idx="203">
                  <c:v>761963.23</c:v>
                </c:pt>
                <c:pt idx="204">
                  <c:v>812152.6</c:v>
                </c:pt>
                <c:pt idx="205">
                  <c:v>804975.5</c:v>
                </c:pt>
                <c:pt idx="206">
                  <c:v>752321.72</c:v>
                </c:pt>
                <c:pt idx="207">
                  <c:v>836908.24</c:v>
                </c:pt>
                <c:pt idx="208">
                  <c:v>674289.1</c:v>
                </c:pt>
                <c:pt idx="209">
                  <c:v>622892.42000000004</c:v>
                </c:pt>
                <c:pt idx="210">
                  <c:v>673348.56</c:v>
                </c:pt>
                <c:pt idx="211">
                  <c:v>606278.30000000005</c:v>
                </c:pt>
                <c:pt idx="212">
                  <c:v>712219.81</c:v>
                </c:pt>
                <c:pt idx="213">
                  <c:v>672670.54</c:v>
                </c:pt>
                <c:pt idx="214">
                  <c:v>732667.92</c:v>
                </c:pt>
                <c:pt idx="215">
                  <c:v>723531.4</c:v>
                </c:pt>
                <c:pt idx="216">
                  <c:v>641564.6</c:v>
                </c:pt>
                <c:pt idx="217">
                  <c:v>536545.49</c:v>
                </c:pt>
                <c:pt idx="218">
                  <c:v>527681.56000000006</c:v>
                </c:pt>
                <c:pt idx="219">
                  <c:v>570963.31000000006</c:v>
                </c:pt>
                <c:pt idx="220">
                  <c:v>870937.4</c:v>
                </c:pt>
                <c:pt idx="221">
                  <c:v>596969.27</c:v>
                </c:pt>
                <c:pt idx="222">
                  <c:v>658072.14</c:v>
                </c:pt>
                <c:pt idx="223">
                  <c:v>723305.11</c:v>
                </c:pt>
                <c:pt idx="224">
                  <c:v>640666.53</c:v>
                </c:pt>
                <c:pt idx="225">
                  <c:v>670629.48</c:v>
                </c:pt>
                <c:pt idx="226">
                  <c:v>721079.35</c:v>
                </c:pt>
                <c:pt idx="227">
                  <c:v>810355.02</c:v>
                </c:pt>
                <c:pt idx="228">
                  <c:v>761919.25</c:v>
                </c:pt>
                <c:pt idx="229">
                  <c:v>737070.18</c:v>
                </c:pt>
                <c:pt idx="230">
                  <c:v>776992.93</c:v>
                </c:pt>
                <c:pt idx="231">
                  <c:v>676337.41</c:v>
                </c:pt>
                <c:pt idx="232">
                  <c:v>828219.67</c:v>
                </c:pt>
                <c:pt idx="233">
                  <c:v>763159.92</c:v>
                </c:pt>
                <c:pt idx="234">
                  <c:v>802001.68</c:v>
                </c:pt>
                <c:pt idx="235">
                  <c:v>750471.34</c:v>
                </c:pt>
                <c:pt idx="236">
                  <c:v>679230.86</c:v>
                </c:pt>
                <c:pt idx="237">
                  <c:v>679888.74</c:v>
                </c:pt>
                <c:pt idx="238">
                  <c:v>642751.42000000004</c:v>
                </c:pt>
                <c:pt idx="239">
                  <c:v>647953.78</c:v>
                </c:pt>
                <c:pt idx="240">
                  <c:v>729440.45</c:v>
                </c:pt>
                <c:pt idx="241">
                  <c:v>764949</c:v>
                </c:pt>
                <c:pt idx="242">
                  <c:v>799046.94</c:v>
                </c:pt>
                <c:pt idx="243">
                  <c:v>720079.54</c:v>
                </c:pt>
                <c:pt idx="244">
                  <c:v>612390.14</c:v>
                </c:pt>
                <c:pt idx="245">
                  <c:v>840108.12</c:v>
                </c:pt>
                <c:pt idx="246">
                  <c:v>697888.09</c:v>
                </c:pt>
                <c:pt idx="247">
                  <c:v>746115.59</c:v>
                </c:pt>
                <c:pt idx="248">
                  <c:v>776110.32</c:v>
                </c:pt>
                <c:pt idx="249">
                  <c:v>528852.62</c:v>
                </c:pt>
                <c:pt idx="250">
                  <c:v>677640.65</c:v>
                </c:pt>
                <c:pt idx="251">
                  <c:v>636613.23</c:v>
                </c:pt>
                <c:pt idx="252">
                  <c:v>708985.19</c:v>
                </c:pt>
                <c:pt idx="253">
                  <c:v>767792.94</c:v>
                </c:pt>
                <c:pt idx="254">
                  <c:v>745580.51</c:v>
                </c:pt>
                <c:pt idx="255">
                  <c:v>762328.31</c:v>
                </c:pt>
                <c:pt idx="256">
                  <c:v>660633.99</c:v>
                </c:pt>
                <c:pt idx="257">
                  <c:v>739374.56</c:v>
                </c:pt>
                <c:pt idx="258">
                  <c:v>799756.46</c:v>
                </c:pt>
                <c:pt idx="259">
                  <c:v>593343</c:v>
                </c:pt>
                <c:pt idx="260">
                  <c:v>645039.97</c:v>
                </c:pt>
                <c:pt idx="261">
                  <c:v>561597.32999999996</c:v>
                </c:pt>
                <c:pt idx="262">
                  <c:v>635837.74</c:v>
                </c:pt>
                <c:pt idx="263">
                  <c:v>686737.87</c:v>
                </c:pt>
                <c:pt idx="264">
                  <c:v>673076.34</c:v>
                </c:pt>
                <c:pt idx="265">
                  <c:v>738548.42</c:v>
                </c:pt>
                <c:pt idx="266">
                  <c:v>756619.77</c:v>
                </c:pt>
                <c:pt idx="267">
                  <c:v>761122.42</c:v>
                </c:pt>
                <c:pt idx="268">
                  <c:v>524899.56999999995</c:v>
                </c:pt>
                <c:pt idx="269">
                  <c:v>555557.77</c:v>
                </c:pt>
                <c:pt idx="270">
                  <c:v>714083.68</c:v>
                </c:pt>
                <c:pt idx="271">
                  <c:v>497439.82</c:v>
                </c:pt>
                <c:pt idx="272">
                  <c:v>636775.66</c:v>
                </c:pt>
                <c:pt idx="273">
                  <c:v>633009.53</c:v>
                </c:pt>
                <c:pt idx="274">
                  <c:v>609949</c:v>
                </c:pt>
                <c:pt idx="275">
                  <c:v>548103.69999999995</c:v>
                </c:pt>
                <c:pt idx="276">
                  <c:v>729424.42</c:v>
                </c:pt>
                <c:pt idx="277">
                  <c:v>696261.49</c:v>
                </c:pt>
                <c:pt idx="278">
                  <c:v>813316.71</c:v>
                </c:pt>
                <c:pt idx="279">
                  <c:v>702068.92</c:v>
                </c:pt>
                <c:pt idx="280">
                  <c:v>546223.69999999995</c:v>
                </c:pt>
                <c:pt idx="281">
                  <c:v>533121.26</c:v>
                </c:pt>
                <c:pt idx="282">
                  <c:v>498970.32</c:v>
                </c:pt>
                <c:pt idx="283">
                  <c:v>487738.26</c:v>
                </c:pt>
                <c:pt idx="284">
                  <c:v>668459.37</c:v>
                </c:pt>
                <c:pt idx="285">
                  <c:v>763162.45</c:v>
                </c:pt>
                <c:pt idx="286">
                  <c:v>599017.32999999996</c:v>
                </c:pt>
                <c:pt idx="287">
                  <c:v>401582.58</c:v>
                </c:pt>
                <c:pt idx="288">
                  <c:v>703812.99</c:v>
                </c:pt>
                <c:pt idx="289">
                  <c:v>724346.73</c:v>
                </c:pt>
                <c:pt idx="290">
                  <c:v>730890.01</c:v>
                </c:pt>
                <c:pt idx="291">
                  <c:v>780580.95</c:v>
                </c:pt>
                <c:pt idx="292">
                  <c:v>727957.48</c:v>
                </c:pt>
                <c:pt idx="293">
                  <c:v>538376</c:v>
                </c:pt>
                <c:pt idx="294">
                  <c:v>665342.49</c:v>
                </c:pt>
                <c:pt idx="295">
                  <c:v>651164.18000000005</c:v>
                </c:pt>
                <c:pt idx="296">
                  <c:v>628538.30000000005</c:v>
                </c:pt>
                <c:pt idx="297">
                  <c:v>536524.84</c:v>
                </c:pt>
                <c:pt idx="298">
                  <c:v>621677.30000000005</c:v>
                </c:pt>
                <c:pt idx="299">
                  <c:v>702052.47</c:v>
                </c:pt>
                <c:pt idx="300">
                  <c:v>712375.77</c:v>
                </c:pt>
                <c:pt idx="301">
                  <c:v>844710.67</c:v>
                </c:pt>
                <c:pt idx="302">
                  <c:v>620264.19999999995</c:v>
                </c:pt>
                <c:pt idx="303">
                  <c:v>536845.42000000004</c:v>
                </c:pt>
                <c:pt idx="304">
                  <c:v>726776.22</c:v>
                </c:pt>
                <c:pt idx="305">
                  <c:v>559660.84</c:v>
                </c:pt>
              </c:numCache>
            </c:numRef>
          </c:xVal>
          <c:yVal>
            <c:numRef>
              <c:f>'8_Residual_Plots'!$AI$3:$AI$308</c:f>
              <c:numCache>
                <c:formatCode>General</c:formatCode>
                <c:ptCount val="306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9449</c:v>
                </c:pt>
                <c:pt idx="34">
                  <c:v>10453</c:v>
                </c:pt>
                <c:pt idx="35">
                  <c:v>8838</c:v>
                </c:pt>
                <c:pt idx="36">
                  <c:v>8156</c:v>
                </c:pt>
                <c:pt idx="37">
                  <c:v>7562</c:v>
                </c:pt>
                <c:pt idx="38">
                  <c:v>9598</c:v>
                </c:pt>
                <c:pt idx="39">
                  <c:v>3660</c:v>
                </c:pt>
                <c:pt idx="40">
                  <c:v>3227</c:v>
                </c:pt>
                <c:pt idx="41">
                  <c:v>3360</c:v>
                </c:pt>
                <c:pt idx="42">
                  <c:v>3642</c:v>
                </c:pt>
                <c:pt idx="43">
                  <c:v>5145</c:v>
                </c:pt>
                <c:pt idx="44">
                  <c:v>4460</c:v>
                </c:pt>
                <c:pt idx="45">
                  <c:v>3804</c:v>
                </c:pt>
                <c:pt idx="46">
                  <c:v>4074</c:v>
                </c:pt>
                <c:pt idx="47">
                  <c:v>5104</c:v>
                </c:pt>
                <c:pt idx="48">
                  <c:v>5559</c:v>
                </c:pt>
                <c:pt idx="49">
                  <c:v>5150</c:v>
                </c:pt>
                <c:pt idx="50">
                  <c:v>7189</c:v>
                </c:pt>
                <c:pt idx="51">
                  <c:v>3279</c:v>
                </c:pt>
                <c:pt idx="52">
                  <c:v>5887</c:v>
                </c:pt>
                <c:pt idx="53">
                  <c:v>5516</c:v>
                </c:pt>
                <c:pt idx="54">
                  <c:v>2863</c:v>
                </c:pt>
                <c:pt idx="55">
                  <c:v>2378</c:v>
                </c:pt>
                <c:pt idx="56">
                  <c:v>2515</c:v>
                </c:pt>
                <c:pt idx="57">
                  <c:v>4022</c:v>
                </c:pt>
                <c:pt idx="58">
                  <c:v>4377</c:v>
                </c:pt>
                <c:pt idx="59">
                  <c:v>5306</c:v>
                </c:pt>
                <c:pt idx="60">
                  <c:v>3928</c:v>
                </c:pt>
                <c:pt idx="61">
                  <c:v>3845</c:v>
                </c:pt>
                <c:pt idx="62">
                  <c:v>6620</c:v>
                </c:pt>
                <c:pt idx="63">
                  <c:v>9175</c:v>
                </c:pt>
                <c:pt idx="64">
                  <c:v>7940</c:v>
                </c:pt>
                <c:pt idx="65">
                  <c:v>9628</c:v>
                </c:pt>
                <c:pt idx="66">
                  <c:v>8296</c:v>
                </c:pt>
                <c:pt idx="67">
                  <c:v>3595</c:v>
                </c:pt>
                <c:pt idx="68">
                  <c:v>2834</c:v>
                </c:pt>
                <c:pt idx="69">
                  <c:v>3193</c:v>
                </c:pt>
                <c:pt idx="70">
                  <c:v>5918</c:v>
                </c:pt>
                <c:pt idx="71">
                  <c:v>6821</c:v>
                </c:pt>
                <c:pt idx="72">
                  <c:v>6806</c:v>
                </c:pt>
                <c:pt idx="73">
                  <c:v>8252</c:v>
                </c:pt>
                <c:pt idx="74">
                  <c:v>6662</c:v>
                </c:pt>
                <c:pt idx="75">
                  <c:v>5962</c:v>
                </c:pt>
                <c:pt idx="76">
                  <c:v>7470</c:v>
                </c:pt>
                <c:pt idx="77">
                  <c:v>5974</c:v>
                </c:pt>
                <c:pt idx="78">
                  <c:v>5410</c:v>
                </c:pt>
                <c:pt idx="79">
                  <c:v>4451</c:v>
                </c:pt>
                <c:pt idx="80">
                  <c:v>4644</c:v>
                </c:pt>
                <c:pt idx="81">
                  <c:v>3559</c:v>
                </c:pt>
                <c:pt idx="82">
                  <c:v>3091</c:v>
                </c:pt>
                <c:pt idx="83">
                  <c:v>3788</c:v>
                </c:pt>
                <c:pt idx="84">
                  <c:v>1260</c:v>
                </c:pt>
                <c:pt idx="85">
                  <c:v>7024</c:v>
                </c:pt>
                <c:pt idx="86">
                  <c:v>5400</c:v>
                </c:pt>
                <c:pt idx="87">
                  <c:v>5988</c:v>
                </c:pt>
                <c:pt idx="88">
                  <c:v>3701</c:v>
                </c:pt>
                <c:pt idx="89">
                  <c:v>4509</c:v>
                </c:pt>
                <c:pt idx="90">
                  <c:v>6477</c:v>
                </c:pt>
                <c:pt idx="91">
                  <c:v>7970</c:v>
                </c:pt>
                <c:pt idx="92">
                  <c:v>6057</c:v>
                </c:pt>
                <c:pt idx="93">
                  <c:v>6394</c:v>
                </c:pt>
                <c:pt idx="94">
                  <c:v>5150</c:v>
                </c:pt>
                <c:pt idx="95">
                  <c:v>5281</c:v>
                </c:pt>
                <c:pt idx="96">
                  <c:v>3642</c:v>
                </c:pt>
                <c:pt idx="97">
                  <c:v>4373</c:v>
                </c:pt>
                <c:pt idx="98">
                  <c:v>6832</c:v>
                </c:pt>
                <c:pt idx="99">
                  <c:v>2414</c:v>
                </c:pt>
                <c:pt idx="100">
                  <c:v>7374</c:v>
                </c:pt>
                <c:pt idx="101">
                  <c:v>8739</c:v>
                </c:pt>
                <c:pt idx="102">
                  <c:v>6992</c:v>
                </c:pt>
                <c:pt idx="103">
                  <c:v>7107</c:v>
                </c:pt>
                <c:pt idx="104">
                  <c:v>6975</c:v>
                </c:pt>
                <c:pt idx="105">
                  <c:v>5493</c:v>
                </c:pt>
                <c:pt idx="106">
                  <c:v>5686</c:v>
                </c:pt>
                <c:pt idx="107">
                  <c:v>4063</c:v>
                </c:pt>
                <c:pt idx="108">
                  <c:v>8966</c:v>
                </c:pt>
                <c:pt idx="109">
                  <c:v>9489</c:v>
                </c:pt>
                <c:pt idx="110">
                  <c:v>9225</c:v>
                </c:pt>
                <c:pt idx="111">
                  <c:v>9249</c:v>
                </c:pt>
                <c:pt idx="112">
                  <c:v>7821</c:v>
                </c:pt>
                <c:pt idx="113">
                  <c:v>8434</c:v>
                </c:pt>
                <c:pt idx="114">
                  <c:v>8512</c:v>
                </c:pt>
                <c:pt idx="115">
                  <c:v>7816</c:v>
                </c:pt>
                <c:pt idx="116">
                  <c:v>3853</c:v>
                </c:pt>
                <c:pt idx="117">
                  <c:v>3694</c:v>
                </c:pt>
                <c:pt idx="118">
                  <c:v>4423</c:v>
                </c:pt>
                <c:pt idx="119">
                  <c:v>1906</c:v>
                </c:pt>
                <c:pt idx="120">
                  <c:v>10396</c:v>
                </c:pt>
                <c:pt idx="121">
                  <c:v>11076</c:v>
                </c:pt>
                <c:pt idx="122">
                  <c:v>9574</c:v>
                </c:pt>
                <c:pt idx="123">
                  <c:v>8221</c:v>
                </c:pt>
                <c:pt idx="124">
                  <c:v>10618</c:v>
                </c:pt>
                <c:pt idx="125">
                  <c:v>10596</c:v>
                </c:pt>
                <c:pt idx="126">
                  <c:v>9619</c:v>
                </c:pt>
                <c:pt idx="127">
                  <c:v>10836</c:v>
                </c:pt>
                <c:pt idx="128">
                  <c:v>3043</c:v>
                </c:pt>
                <c:pt idx="129">
                  <c:v>3618</c:v>
                </c:pt>
                <c:pt idx="130">
                  <c:v>1963</c:v>
                </c:pt>
                <c:pt idx="131">
                  <c:v>6244</c:v>
                </c:pt>
                <c:pt idx="132">
                  <c:v>6544</c:v>
                </c:pt>
                <c:pt idx="133">
                  <c:v>5465</c:v>
                </c:pt>
                <c:pt idx="134">
                  <c:v>6427</c:v>
                </c:pt>
                <c:pt idx="135">
                  <c:v>6704</c:v>
                </c:pt>
                <c:pt idx="136">
                  <c:v>5645</c:v>
                </c:pt>
                <c:pt idx="137">
                  <c:v>6089</c:v>
                </c:pt>
                <c:pt idx="138">
                  <c:v>4312</c:v>
                </c:pt>
                <c:pt idx="139">
                  <c:v>3152</c:v>
                </c:pt>
                <c:pt idx="140">
                  <c:v>4259</c:v>
                </c:pt>
                <c:pt idx="141">
                  <c:v>3350</c:v>
                </c:pt>
                <c:pt idx="142">
                  <c:v>5329</c:v>
                </c:pt>
                <c:pt idx="143">
                  <c:v>6551</c:v>
                </c:pt>
                <c:pt idx="144">
                  <c:v>5550</c:v>
                </c:pt>
                <c:pt idx="145">
                  <c:v>5911</c:v>
                </c:pt>
                <c:pt idx="146">
                  <c:v>9674</c:v>
                </c:pt>
                <c:pt idx="147">
                  <c:v>6740</c:v>
                </c:pt>
                <c:pt idx="148">
                  <c:v>7745</c:v>
                </c:pt>
                <c:pt idx="149">
                  <c:v>7693</c:v>
                </c:pt>
                <c:pt idx="150">
                  <c:v>6424</c:v>
                </c:pt>
                <c:pt idx="151">
                  <c:v>5400</c:v>
                </c:pt>
                <c:pt idx="152">
                  <c:v>7015</c:v>
                </c:pt>
                <c:pt idx="153">
                  <c:v>3847</c:v>
                </c:pt>
                <c:pt idx="154">
                  <c:v>7455</c:v>
                </c:pt>
                <c:pt idx="155">
                  <c:v>6992</c:v>
                </c:pt>
                <c:pt idx="156">
                  <c:v>6055</c:v>
                </c:pt>
                <c:pt idx="157">
                  <c:v>9323</c:v>
                </c:pt>
                <c:pt idx="158">
                  <c:v>8789</c:v>
                </c:pt>
                <c:pt idx="159">
                  <c:v>6939</c:v>
                </c:pt>
                <c:pt idx="160">
                  <c:v>9440</c:v>
                </c:pt>
                <c:pt idx="161">
                  <c:v>9374</c:v>
                </c:pt>
                <c:pt idx="162">
                  <c:v>7576</c:v>
                </c:pt>
                <c:pt idx="163">
                  <c:v>8949</c:v>
                </c:pt>
                <c:pt idx="164">
                  <c:v>7671</c:v>
                </c:pt>
                <c:pt idx="165">
                  <c:v>8741</c:v>
                </c:pt>
                <c:pt idx="166">
                  <c:v>9480</c:v>
                </c:pt>
                <c:pt idx="167">
                  <c:v>9826</c:v>
                </c:pt>
                <c:pt idx="168">
                  <c:v>10402</c:v>
                </c:pt>
                <c:pt idx="169">
                  <c:v>12361</c:v>
                </c:pt>
                <c:pt idx="170">
                  <c:v>7925</c:v>
                </c:pt>
                <c:pt idx="171">
                  <c:v>8870</c:v>
                </c:pt>
                <c:pt idx="172">
                  <c:v>9999</c:v>
                </c:pt>
                <c:pt idx="173">
                  <c:v>11154</c:v>
                </c:pt>
                <c:pt idx="174">
                  <c:v>9287</c:v>
                </c:pt>
                <c:pt idx="175">
                  <c:v>9812</c:v>
                </c:pt>
                <c:pt idx="176">
                  <c:v>10741</c:v>
                </c:pt>
                <c:pt idx="177">
                  <c:v>6084</c:v>
                </c:pt>
                <c:pt idx="178">
                  <c:v>5252</c:v>
                </c:pt>
                <c:pt idx="179">
                  <c:v>6516</c:v>
                </c:pt>
                <c:pt idx="180">
                  <c:v>7932</c:v>
                </c:pt>
                <c:pt idx="181">
                  <c:v>3506</c:v>
                </c:pt>
                <c:pt idx="182">
                  <c:v>2312</c:v>
                </c:pt>
                <c:pt idx="183">
                  <c:v>1268</c:v>
                </c:pt>
                <c:pt idx="184">
                  <c:v>4423</c:v>
                </c:pt>
                <c:pt idx="185">
                  <c:v>6177</c:v>
                </c:pt>
                <c:pt idx="186">
                  <c:v>5150</c:v>
                </c:pt>
                <c:pt idx="187">
                  <c:v>3783</c:v>
                </c:pt>
                <c:pt idx="188">
                  <c:v>4970</c:v>
                </c:pt>
                <c:pt idx="189">
                  <c:v>4366</c:v>
                </c:pt>
                <c:pt idx="190">
                  <c:v>5012</c:v>
                </c:pt>
                <c:pt idx="191">
                  <c:v>5575</c:v>
                </c:pt>
                <c:pt idx="192">
                  <c:v>5955</c:v>
                </c:pt>
                <c:pt idx="193">
                  <c:v>6389</c:v>
                </c:pt>
                <c:pt idx="194">
                  <c:v>6896</c:v>
                </c:pt>
                <c:pt idx="195">
                  <c:v>6015</c:v>
                </c:pt>
                <c:pt idx="196">
                  <c:v>9476</c:v>
                </c:pt>
                <c:pt idx="197">
                  <c:v>7875</c:v>
                </c:pt>
                <c:pt idx="198">
                  <c:v>9283</c:v>
                </c:pt>
                <c:pt idx="199">
                  <c:v>8303</c:v>
                </c:pt>
                <c:pt idx="200">
                  <c:v>10125</c:v>
                </c:pt>
                <c:pt idx="201">
                  <c:v>9458</c:v>
                </c:pt>
                <c:pt idx="202">
                  <c:v>12870</c:v>
                </c:pt>
                <c:pt idx="203">
                  <c:v>9752</c:v>
                </c:pt>
                <c:pt idx="204">
                  <c:v>9505</c:v>
                </c:pt>
                <c:pt idx="205">
                  <c:v>9412</c:v>
                </c:pt>
                <c:pt idx="206">
                  <c:v>9644</c:v>
                </c:pt>
                <c:pt idx="207">
                  <c:v>11224</c:v>
                </c:pt>
                <c:pt idx="208">
                  <c:v>5394</c:v>
                </c:pt>
                <c:pt idx="209">
                  <c:v>5014</c:v>
                </c:pt>
                <c:pt idx="210">
                  <c:v>4467</c:v>
                </c:pt>
                <c:pt idx="211">
                  <c:v>4678</c:v>
                </c:pt>
                <c:pt idx="212">
                  <c:v>7291</c:v>
                </c:pt>
                <c:pt idx="213">
                  <c:v>7404</c:v>
                </c:pt>
                <c:pt idx="214">
                  <c:v>7880</c:v>
                </c:pt>
                <c:pt idx="215">
                  <c:v>8773</c:v>
                </c:pt>
                <c:pt idx="216">
                  <c:v>4713</c:v>
                </c:pt>
                <c:pt idx="217">
                  <c:v>2842</c:v>
                </c:pt>
                <c:pt idx="218">
                  <c:v>3872</c:v>
                </c:pt>
                <c:pt idx="219">
                  <c:v>5957</c:v>
                </c:pt>
                <c:pt idx="220">
                  <c:v>8961</c:v>
                </c:pt>
                <c:pt idx="221">
                  <c:v>6545</c:v>
                </c:pt>
                <c:pt idx="222">
                  <c:v>4264</c:v>
                </c:pt>
                <c:pt idx="223">
                  <c:v>5321</c:v>
                </c:pt>
                <c:pt idx="224">
                  <c:v>5479</c:v>
                </c:pt>
                <c:pt idx="225">
                  <c:v>6169</c:v>
                </c:pt>
                <c:pt idx="226">
                  <c:v>9908</c:v>
                </c:pt>
                <c:pt idx="227">
                  <c:v>9996</c:v>
                </c:pt>
                <c:pt idx="228">
                  <c:v>9702</c:v>
                </c:pt>
                <c:pt idx="229">
                  <c:v>9314</c:v>
                </c:pt>
                <c:pt idx="230">
                  <c:v>8055</c:v>
                </c:pt>
                <c:pt idx="231">
                  <c:v>5648</c:v>
                </c:pt>
                <c:pt idx="232">
                  <c:v>10076</c:v>
                </c:pt>
                <c:pt idx="233">
                  <c:v>8004</c:v>
                </c:pt>
                <c:pt idx="234">
                  <c:v>8934</c:v>
                </c:pt>
                <c:pt idx="235">
                  <c:v>8733</c:v>
                </c:pt>
                <c:pt idx="236">
                  <c:v>7374</c:v>
                </c:pt>
                <c:pt idx="237">
                  <c:v>8119</c:v>
                </c:pt>
                <c:pt idx="238">
                  <c:v>5765</c:v>
                </c:pt>
                <c:pt idx="239">
                  <c:v>6322</c:v>
                </c:pt>
                <c:pt idx="240">
                  <c:v>6840</c:v>
                </c:pt>
                <c:pt idx="241">
                  <c:v>6782</c:v>
                </c:pt>
                <c:pt idx="242">
                  <c:v>6856</c:v>
                </c:pt>
                <c:pt idx="243">
                  <c:v>5641</c:v>
                </c:pt>
                <c:pt idx="244">
                  <c:v>5787</c:v>
                </c:pt>
                <c:pt idx="245">
                  <c:v>8165</c:v>
                </c:pt>
                <c:pt idx="246">
                  <c:v>7574</c:v>
                </c:pt>
                <c:pt idx="247">
                  <c:v>8634</c:v>
                </c:pt>
                <c:pt idx="248">
                  <c:v>7836</c:v>
                </c:pt>
                <c:pt idx="249">
                  <c:v>3047</c:v>
                </c:pt>
                <c:pt idx="250">
                  <c:v>4902</c:v>
                </c:pt>
                <c:pt idx="251">
                  <c:v>4022</c:v>
                </c:pt>
                <c:pt idx="252">
                  <c:v>7324</c:v>
                </c:pt>
                <c:pt idx="253">
                  <c:v>8129</c:v>
                </c:pt>
                <c:pt idx="254">
                  <c:v>7969</c:v>
                </c:pt>
                <c:pt idx="255">
                  <c:v>7240</c:v>
                </c:pt>
                <c:pt idx="256">
                  <c:v>8052</c:v>
                </c:pt>
                <c:pt idx="257">
                  <c:v>8018</c:v>
                </c:pt>
                <c:pt idx="258">
                  <c:v>10192</c:v>
                </c:pt>
                <c:pt idx="259">
                  <c:v>7446</c:v>
                </c:pt>
                <c:pt idx="260">
                  <c:v>5689</c:v>
                </c:pt>
                <c:pt idx="261">
                  <c:v>3326</c:v>
                </c:pt>
                <c:pt idx="262">
                  <c:v>5767</c:v>
                </c:pt>
                <c:pt idx="263">
                  <c:v>5893</c:v>
                </c:pt>
                <c:pt idx="264">
                  <c:v>8564</c:v>
                </c:pt>
                <c:pt idx="265">
                  <c:v>8001</c:v>
                </c:pt>
                <c:pt idx="266">
                  <c:v>9324</c:v>
                </c:pt>
                <c:pt idx="267">
                  <c:v>9109</c:v>
                </c:pt>
                <c:pt idx="268">
                  <c:v>4022</c:v>
                </c:pt>
                <c:pt idx="269">
                  <c:v>4355</c:v>
                </c:pt>
                <c:pt idx="270">
                  <c:v>5745</c:v>
                </c:pt>
                <c:pt idx="271">
                  <c:v>3027</c:v>
                </c:pt>
                <c:pt idx="272">
                  <c:v>5562</c:v>
                </c:pt>
                <c:pt idx="273">
                  <c:v>4487</c:v>
                </c:pt>
                <c:pt idx="274">
                  <c:v>4162</c:v>
                </c:pt>
                <c:pt idx="275">
                  <c:v>4094</c:v>
                </c:pt>
                <c:pt idx="276">
                  <c:v>8484</c:v>
                </c:pt>
                <c:pt idx="277">
                  <c:v>7794</c:v>
                </c:pt>
                <c:pt idx="278">
                  <c:v>8300</c:v>
                </c:pt>
                <c:pt idx="279">
                  <c:v>7083</c:v>
                </c:pt>
                <c:pt idx="280">
                  <c:v>3834</c:v>
                </c:pt>
                <c:pt idx="281">
                  <c:v>2358</c:v>
                </c:pt>
                <c:pt idx="282">
                  <c:v>1231</c:v>
                </c:pt>
                <c:pt idx="283">
                  <c:v>1723</c:v>
                </c:pt>
                <c:pt idx="284">
                  <c:v>5896</c:v>
                </c:pt>
                <c:pt idx="285">
                  <c:v>5903</c:v>
                </c:pt>
                <c:pt idx="286">
                  <c:v>4898</c:v>
                </c:pt>
                <c:pt idx="287">
                  <c:v>1462</c:v>
                </c:pt>
                <c:pt idx="288">
                  <c:v>8252</c:v>
                </c:pt>
                <c:pt idx="289">
                  <c:v>7989</c:v>
                </c:pt>
                <c:pt idx="290">
                  <c:v>8268</c:v>
                </c:pt>
                <c:pt idx="291">
                  <c:v>8183</c:v>
                </c:pt>
                <c:pt idx="292">
                  <c:v>6534</c:v>
                </c:pt>
                <c:pt idx="293">
                  <c:v>5804</c:v>
                </c:pt>
                <c:pt idx="294">
                  <c:v>6301</c:v>
                </c:pt>
                <c:pt idx="295">
                  <c:v>6399</c:v>
                </c:pt>
                <c:pt idx="296">
                  <c:v>5759</c:v>
                </c:pt>
                <c:pt idx="297">
                  <c:v>5285</c:v>
                </c:pt>
                <c:pt idx="298">
                  <c:v>5434</c:v>
                </c:pt>
                <c:pt idx="299">
                  <c:v>6164</c:v>
                </c:pt>
                <c:pt idx="300">
                  <c:v>6000</c:v>
                </c:pt>
                <c:pt idx="301">
                  <c:v>9967</c:v>
                </c:pt>
                <c:pt idx="302">
                  <c:v>5639</c:v>
                </c:pt>
                <c:pt idx="303">
                  <c:v>3466</c:v>
                </c:pt>
                <c:pt idx="304">
                  <c:v>7775</c:v>
                </c:pt>
                <c:pt idx="305">
                  <c:v>5317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C-436F-B3E8-611740CB4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518384"/>
        <c:axId val="1519536144"/>
      </c:scatterChart>
      <c:valAx>
        <c:axId val="1519518384"/>
        <c:scaling>
          <c:orientation val="minMax"/>
          <c:min val="350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36144"/>
        <c:crosses val="autoZero"/>
        <c:crossBetween val="midCat"/>
      </c:valAx>
      <c:valAx>
        <c:axId val="151953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1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Residuals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Residuals</a:t>
          </a:r>
        </a:p>
      </cx:txPr>
    </cx:title>
    <cx:plotArea>
      <cx:plotAreaRegion>
        <cx:series layoutId="clusteredColumn" uniqueId="{C65670FB-890E-44EB-BC16-551519640CCE}">
          <cx:tx>
            <cx:txData>
              <cx:f>_xlchart.v1.0</cx:f>
              <cx:v>residual ($)</cx:v>
            </cx:txData>
          </cx:tx>
          <cx:spPr>
            <a:solidFill>
              <a:schemeClr val="tx2">
                <a:lumMod val="75000"/>
              </a:schemeClr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107154</xdr:colOff>
      <xdr:row>0</xdr:row>
      <xdr:rowOff>23811</xdr:rowOff>
    </xdr:from>
    <xdr:to>
      <xdr:col>15</xdr:col>
      <xdr:colOff>438150</xdr:colOff>
      <xdr:row>14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163CC-EA71-DDAE-E3A5-47C1DC512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64292</xdr:colOff>
      <xdr:row>15</xdr:row>
      <xdr:rowOff>71438</xdr:rowOff>
    </xdr:from>
    <xdr:to>
      <xdr:col>7</xdr:col>
      <xdr:colOff>28575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42E31-7014-DC69-0B2E-9F5A1E963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107155</xdr:colOff>
      <xdr:row>15</xdr:row>
      <xdr:rowOff>71437</xdr:rowOff>
    </xdr:from>
    <xdr:to>
      <xdr:col>15</xdr:col>
      <xdr:colOff>427290</xdr:colOff>
      <xdr:row>33</xdr:row>
      <xdr:rowOff>53579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A224810-88C1-89C7-0877-4FBC16C430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2859" y="3226593"/>
              <a:ext cx="5511260" cy="3196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59530</xdr:colOff>
      <xdr:row>0</xdr:row>
      <xdr:rowOff>45243</xdr:rowOff>
    </xdr:from>
    <xdr:to>
      <xdr:col>25</xdr:col>
      <xdr:colOff>577451</xdr:colOff>
      <xdr:row>26</xdr:row>
      <xdr:rowOff>17859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58E76D-D320-C631-8511-3EB401BD7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2"/>
  <sheetViews>
    <sheetView topLeftCell="D1" workbookViewId="0">
      <pane ySplit="2" topLeftCell="A3" activePane="bottomLeft" state="frozen"/>
      <selection pane="bottomLeft" sqref="A1:N1"/>
    </sheetView>
  </sheetViews>
  <sheetFormatPr defaultRowHeight="14.25" x14ac:dyDescent="0.45"/>
  <cols>
    <col min="1" max="1" width="12" customWidth="1"/>
    <col min="2" max="2" width="14" customWidth="1"/>
    <col min="3" max="3" width="10" customWidth="1"/>
    <col min="4" max="4" width="14" customWidth="1"/>
    <col min="5" max="5" width="18" customWidth="1"/>
    <col min="6" max="6" width="10" customWidth="1"/>
    <col min="7" max="7" width="18" customWidth="1"/>
    <col min="8" max="8" width="12" customWidth="1"/>
    <col min="9" max="9" width="26" customWidth="1"/>
    <col min="10" max="10" width="22" customWidth="1"/>
    <col min="11" max="11" width="14" customWidth="1"/>
    <col min="12" max="14" width="16" customWidth="1"/>
  </cols>
  <sheetData>
    <row r="1" spans="1:14" ht="15.4" customHeight="1" x14ac:dyDescent="0.45">
      <c r="A1" s="35" t="s">
        <v>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35" customHeight="1" x14ac:dyDescent="0.4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</row>
    <row r="3" spans="1:14" x14ac:dyDescent="0.45">
      <c r="A3" s="2" t="s">
        <v>53</v>
      </c>
      <c r="B3" s="3">
        <v>45658</v>
      </c>
      <c r="C3" s="2" t="s">
        <v>54</v>
      </c>
      <c r="D3" s="2" t="s">
        <v>55</v>
      </c>
      <c r="E3" s="2">
        <v>70389.11</v>
      </c>
      <c r="F3" s="2">
        <v>8302</v>
      </c>
      <c r="G3" s="2">
        <v>4.2000000000000003E-2</v>
      </c>
      <c r="H3" s="2">
        <v>17</v>
      </c>
      <c r="I3" s="2">
        <v>75</v>
      </c>
      <c r="J3" s="2">
        <v>5.28</v>
      </c>
      <c r="K3" s="2">
        <v>1</v>
      </c>
      <c r="L3" s="2">
        <v>3.1</v>
      </c>
      <c r="M3" s="2">
        <v>658832.62</v>
      </c>
      <c r="N3" s="2">
        <v>84349.93</v>
      </c>
    </row>
    <row r="4" spans="1:14" x14ac:dyDescent="0.45">
      <c r="A4" s="2" t="s">
        <v>53</v>
      </c>
      <c r="B4" s="3">
        <v>45689</v>
      </c>
      <c r="C4" s="2" t="s">
        <v>54</v>
      </c>
      <c r="D4" s="2" t="s">
        <v>55</v>
      </c>
      <c r="E4" s="2">
        <v>43827.89</v>
      </c>
      <c r="F4" s="2">
        <v>8487</v>
      </c>
      <c r="G4" s="2">
        <v>0.16800000000000001</v>
      </c>
      <c r="H4" s="2">
        <v>23</v>
      </c>
      <c r="I4" s="2">
        <v>84.4</v>
      </c>
      <c r="J4" s="2">
        <v>4.3099999999999996</v>
      </c>
      <c r="K4" s="2">
        <v>0</v>
      </c>
      <c r="L4" s="2">
        <v>2.8</v>
      </c>
      <c r="M4" s="2">
        <v>634436</v>
      </c>
      <c r="N4" s="2">
        <v>106130.54</v>
      </c>
    </row>
    <row r="5" spans="1:14" x14ac:dyDescent="0.45">
      <c r="A5" s="2" t="s">
        <v>53</v>
      </c>
      <c r="B5" s="3">
        <v>45717</v>
      </c>
      <c r="C5" s="2" t="s">
        <v>54</v>
      </c>
      <c r="D5" s="2" t="s">
        <v>55</v>
      </c>
      <c r="E5" s="2">
        <v>59921.75</v>
      </c>
      <c r="F5" s="2">
        <v>9113</v>
      </c>
      <c r="G5" s="2">
        <v>0.13300000000000001</v>
      </c>
      <c r="H5" s="2">
        <v>20</v>
      </c>
      <c r="I5" s="2">
        <v>88</v>
      </c>
      <c r="J5" s="2">
        <v>12</v>
      </c>
      <c r="K5" s="2">
        <v>0</v>
      </c>
      <c r="L5" s="2">
        <v>3.2</v>
      </c>
      <c r="M5" s="2">
        <v>678722.06</v>
      </c>
      <c r="N5" s="2">
        <v>101883.86</v>
      </c>
    </row>
    <row r="6" spans="1:14" x14ac:dyDescent="0.45">
      <c r="A6" s="2" t="s">
        <v>53</v>
      </c>
      <c r="B6" s="3">
        <v>45748</v>
      </c>
      <c r="C6" s="2" t="s">
        <v>54</v>
      </c>
      <c r="D6" s="2" t="s">
        <v>55</v>
      </c>
      <c r="E6" s="2">
        <v>56856.63</v>
      </c>
      <c r="F6" s="2">
        <v>9431</v>
      </c>
      <c r="G6" s="2">
        <v>0.14199999999999999</v>
      </c>
      <c r="H6" s="2">
        <v>23</v>
      </c>
      <c r="I6" s="2">
        <v>86.9</v>
      </c>
      <c r="J6" s="2">
        <v>4.97</v>
      </c>
      <c r="K6" s="2">
        <v>0</v>
      </c>
      <c r="L6" s="2">
        <v>3.4</v>
      </c>
      <c r="M6" s="2">
        <v>658920.30000000005</v>
      </c>
      <c r="N6" s="2">
        <v>97910.37</v>
      </c>
    </row>
    <row r="7" spans="1:14" x14ac:dyDescent="0.45">
      <c r="A7" s="2" t="s">
        <v>56</v>
      </c>
      <c r="B7" s="3">
        <v>45658</v>
      </c>
      <c r="C7" s="2" t="s">
        <v>54</v>
      </c>
      <c r="D7" s="2" t="s">
        <v>57</v>
      </c>
      <c r="E7" s="2">
        <v>48412.639999999999</v>
      </c>
      <c r="F7" s="2">
        <v>9545</v>
      </c>
      <c r="G7" s="2">
        <v>0.23100000000000001</v>
      </c>
      <c r="H7" s="2">
        <v>21</v>
      </c>
      <c r="I7" s="2">
        <v>97.6</v>
      </c>
      <c r="J7" s="2">
        <v>6.94</v>
      </c>
      <c r="K7" s="2">
        <v>1</v>
      </c>
      <c r="L7" s="2">
        <v>4.2</v>
      </c>
      <c r="M7" s="2">
        <v>741341.44</v>
      </c>
      <c r="N7" s="2">
        <v>119208.17</v>
      </c>
    </row>
    <row r="8" spans="1:14" x14ac:dyDescent="0.45">
      <c r="A8" s="2" t="s">
        <v>56</v>
      </c>
      <c r="B8" s="3">
        <v>45689</v>
      </c>
      <c r="C8" s="2" t="s">
        <v>54</v>
      </c>
      <c r="D8" s="2" t="s">
        <v>57</v>
      </c>
      <c r="E8" s="2">
        <v>64811.21</v>
      </c>
      <c r="F8" s="2">
        <v>9792</v>
      </c>
      <c r="G8" s="2">
        <v>0.112</v>
      </c>
      <c r="H8" s="2">
        <v>20</v>
      </c>
      <c r="I8" s="2">
        <v>84.2</v>
      </c>
      <c r="J8" s="2">
        <v>2.88</v>
      </c>
      <c r="K8" s="2">
        <v>0</v>
      </c>
      <c r="L8" s="2">
        <v>4.2</v>
      </c>
      <c r="M8" s="2">
        <v>761835.34</v>
      </c>
      <c r="N8" s="2">
        <v>149602.23000000001</v>
      </c>
    </row>
    <row r="9" spans="1:14" x14ac:dyDescent="0.45">
      <c r="A9" s="2" t="s">
        <v>56</v>
      </c>
      <c r="B9" s="3">
        <v>45717</v>
      </c>
      <c r="C9" s="2" t="s">
        <v>54</v>
      </c>
      <c r="D9" s="2" t="s">
        <v>57</v>
      </c>
      <c r="E9" s="2">
        <v>46213.45</v>
      </c>
      <c r="F9" s="2">
        <v>10616</v>
      </c>
      <c r="G9" s="2">
        <v>0.122</v>
      </c>
      <c r="H9" s="2">
        <v>22</v>
      </c>
      <c r="I9" s="2">
        <v>85.2</v>
      </c>
      <c r="J9" s="2">
        <v>0.2</v>
      </c>
      <c r="K9" s="2">
        <v>1</v>
      </c>
      <c r="L9" s="2">
        <v>4.0999999999999996</v>
      </c>
      <c r="M9" s="2">
        <v>806615.54</v>
      </c>
      <c r="N9" s="2">
        <v>131364.62</v>
      </c>
    </row>
    <row r="10" spans="1:14" x14ac:dyDescent="0.45">
      <c r="A10" s="2" t="s">
        <v>56</v>
      </c>
      <c r="B10" s="3">
        <v>45748</v>
      </c>
      <c r="C10" s="2" t="s">
        <v>54</v>
      </c>
      <c r="D10" s="2" t="s">
        <v>57</v>
      </c>
      <c r="E10" s="2">
        <v>68148.52</v>
      </c>
      <c r="F10" s="2">
        <v>8567</v>
      </c>
      <c r="G10" s="2">
        <v>0.127</v>
      </c>
      <c r="H10" s="2">
        <v>23</v>
      </c>
      <c r="I10" s="2">
        <v>95.6</v>
      </c>
      <c r="J10" s="2">
        <v>0.8</v>
      </c>
      <c r="K10" s="2">
        <v>0</v>
      </c>
      <c r="L10" s="2">
        <v>3.9</v>
      </c>
      <c r="M10" s="2">
        <v>850164.26</v>
      </c>
      <c r="N10" s="2">
        <v>149262.75</v>
      </c>
    </row>
    <row r="11" spans="1:14" x14ac:dyDescent="0.45">
      <c r="A11" s="2" t="s">
        <v>58</v>
      </c>
      <c r="B11" s="3">
        <v>45658</v>
      </c>
      <c r="C11" s="2" t="s">
        <v>59</v>
      </c>
      <c r="D11" s="2" t="s">
        <v>60</v>
      </c>
      <c r="E11" s="2">
        <v>71838.86</v>
      </c>
      <c r="F11" s="2">
        <v>10979</v>
      </c>
      <c r="G11" s="2">
        <v>0.215</v>
      </c>
      <c r="H11" s="2">
        <v>26</v>
      </c>
      <c r="I11" s="2">
        <v>88.6</v>
      </c>
      <c r="J11" s="2">
        <v>7.7</v>
      </c>
      <c r="K11" s="2">
        <v>1</v>
      </c>
      <c r="L11" s="2">
        <v>3.8</v>
      </c>
      <c r="M11" s="2">
        <v>930581.7</v>
      </c>
      <c r="N11" s="2">
        <v>136207.98000000001</v>
      </c>
    </row>
    <row r="12" spans="1:14" x14ac:dyDescent="0.45">
      <c r="A12" s="2" t="s">
        <v>58</v>
      </c>
      <c r="B12" s="3">
        <v>45689</v>
      </c>
      <c r="C12" s="2" t="s">
        <v>59</v>
      </c>
      <c r="D12" s="2" t="s">
        <v>60</v>
      </c>
      <c r="E12" s="2">
        <v>68133.440000000002</v>
      </c>
      <c r="F12" s="2">
        <v>9459</v>
      </c>
      <c r="G12" s="2">
        <v>0.22</v>
      </c>
      <c r="H12" s="2">
        <v>21</v>
      </c>
      <c r="I12" s="2">
        <v>85</v>
      </c>
      <c r="J12" s="2">
        <v>1.91</v>
      </c>
      <c r="K12" s="2">
        <v>0</v>
      </c>
      <c r="L12" s="2">
        <v>4.2</v>
      </c>
      <c r="M12" s="2">
        <v>779010.94</v>
      </c>
      <c r="N12" s="2">
        <v>106328.09</v>
      </c>
    </row>
    <row r="13" spans="1:14" x14ac:dyDescent="0.45">
      <c r="A13" s="2" t="s">
        <v>58</v>
      </c>
      <c r="B13" s="3">
        <v>45717</v>
      </c>
      <c r="C13" s="2" t="s">
        <v>59</v>
      </c>
      <c r="D13" s="2" t="s">
        <v>60</v>
      </c>
      <c r="E13" s="2">
        <v>34285.21</v>
      </c>
      <c r="F13" s="2">
        <v>9172</v>
      </c>
      <c r="G13" s="2">
        <v>0.21299999999999999</v>
      </c>
      <c r="H13" s="2">
        <v>22</v>
      </c>
      <c r="I13" s="2">
        <v>88.3</v>
      </c>
      <c r="J13" s="2">
        <v>10.46</v>
      </c>
      <c r="K13" s="2">
        <v>1</v>
      </c>
      <c r="L13" s="2">
        <v>3.8</v>
      </c>
      <c r="M13" s="2">
        <v>723060.76</v>
      </c>
      <c r="N13" s="2">
        <v>123131.24</v>
      </c>
    </row>
    <row r="14" spans="1:14" x14ac:dyDescent="0.45">
      <c r="A14" s="2" t="s">
        <v>58</v>
      </c>
      <c r="B14" s="3">
        <v>45748</v>
      </c>
      <c r="C14" s="2" t="s">
        <v>59</v>
      </c>
      <c r="D14" s="2" t="s">
        <v>60</v>
      </c>
      <c r="E14" s="2">
        <v>67979.88</v>
      </c>
      <c r="F14" s="2">
        <v>11230</v>
      </c>
      <c r="G14" s="2">
        <v>2E-3</v>
      </c>
      <c r="H14" s="2">
        <v>28</v>
      </c>
      <c r="I14" s="2">
        <v>85.3</v>
      </c>
      <c r="J14" s="2">
        <v>7.16</v>
      </c>
      <c r="K14" s="2">
        <v>0</v>
      </c>
      <c r="L14" s="2">
        <v>3.8</v>
      </c>
      <c r="M14" s="2">
        <v>910791.94</v>
      </c>
      <c r="N14" s="2">
        <v>158891.28</v>
      </c>
    </row>
    <row r="15" spans="1:14" x14ac:dyDescent="0.45">
      <c r="A15" s="2" t="s">
        <v>61</v>
      </c>
      <c r="B15" s="3">
        <v>45658</v>
      </c>
      <c r="C15" s="2" t="s">
        <v>54</v>
      </c>
      <c r="D15" s="2" t="s">
        <v>55</v>
      </c>
      <c r="E15" s="2">
        <v>71828.259999999995</v>
      </c>
      <c r="F15" s="2">
        <v>12775</v>
      </c>
      <c r="G15" s="2">
        <v>0.11600000000000001</v>
      </c>
      <c r="H15" s="2">
        <v>30</v>
      </c>
      <c r="I15" s="2">
        <v>81.7</v>
      </c>
      <c r="J15" s="2">
        <v>4.24</v>
      </c>
      <c r="K15" s="2">
        <v>1</v>
      </c>
      <c r="L15" s="2">
        <v>4.2</v>
      </c>
      <c r="M15" s="2">
        <v>922168.6</v>
      </c>
      <c r="N15" s="2">
        <v>107494.53</v>
      </c>
    </row>
    <row r="16" spans="1:14" x14ac:dyDescent="0.45">
      <c r="A16" s="2" t="s">
        <v>61</v>
      </c>
      <c r="B16" s="3">
        <v>45689</v>
      </c>
      <c r="C16" s="2" t="s">
        <v>54</v>
      </c>
      <c r="D16" s="2" t="s">
        <v>55</v>
      </c>
      <c r="E16" s="2">
        <v>55716.82</v>
      </c>
      <c r="F16" s="2">
        <v>10054</v>
      </c>
      <c r="G16" s="2">
        <v>0.14599999999999999</v>
      </c>
      <c r="H16" s="2">
        <v>24</v>
      </c>
      <c r="I16" s="2">
        <v>84.9</v>
      </c>
      <c r="J16" s="2">
        <v>1.06</v>
      </c>
      <c r="K16" s="2">
        <v>0</v>
      </c>
      <c r="L16" s="2">
        <v>4.3</v>
      </c>
      <c r="M16" s="2">
        <v>726606.28</v>
      </c>
      <c r="N16" s="2">
        <v>122729.29</v>
      </c>
    </row>
    <row r="17" spans="1:14" x14ac:dyDescent="0.45">
      <c r="A17" s="2" t="s">
        <v>61</v>
      </c>
      <c r="B17" s="3">
        <v>45717</v>
      </c>
      <c r="C17" s="2" t="s">
        <v>54</v>
      </c>
      <c r="D17" s="2" t="s">
        <v>55</v>
      </c>
      <c r="E17" s="2">
        <v>59909.51</v>
      </c>
      <c r="F17" s="2">
        <v>8895</v>
      </c>
      <c r="G17" s="2">
        <v>0.22800000000000001</v>
      </c>
      <c r="H17" s="2">
        <v>23</v>
      </c>
      <c r="I17" s="2">
        <v>88.8</v>
      </c>
      <c r="J17" s="2">
        <v>0.27</v>
      </c>
      <c r="K17" s="2">
        <v>0</v>
      </c>
      <c r="L17" s="2">
        <v>4.3</v>
      </c>
      <c r="M17" s="2">
        <v>746501.09</v>
      </c>
      <c r="N17" s="2">
        <v>136816.72</v>
      </c>
    </row>
    <row r="18" spans="1:14" x14ac:dyDescent="0.45">
      <c r="A18" s="2" t="s">
        <v>61</v>
      </c>
      <c r="B18" s="3">
        <v>45748</v>
      </c>
      <c r="C18" s="2" t="s">
        <v>54</v>
      </c>
      <c r="D18" s="2" t="s">
        <v>55</v>
      </c>
      <c r="E18" s="2">
        <v>75305.710000000006</v>
      </c>
      <c r="F18" s="2">
        <v>10940</v>
      </c>
      <c r="G18" s="2">
        <v>6.0000000000000001E-3</v>
      </c>
      <c r="H18" s="2">
        <v>26</v>
      </c>
      <c r="I18" s="2">
        <v>76.5</v>
      </c>
      <c r="J18" s="2">
        <v>1.32</v>
      </c>
      <c r="K18" s="2">
        <v>0</v>
      </c>
      <c r="L18" s="2">
        <v>4.5</v>
      </c>
      <c r="M18" s="2">
        <v>834017.02</v>
      </c>
      <c r="N18" s="2">
        <v>114745.03</v>
      </c>
    </row>
    <row r="19" spans="1:14" x14ac:dyDescent="0.45">
      <c r="A19" s="2" t="s">
        <v>62</v>
      </c>
      <c r="B19" s="3">
        <v>45658</v>
      </c>
      <c r="C19" s="2" t="s">
        <v>63</v>
      </c>
      <c r="D19" s="2" t="s">
        <v>55</v>
      </c>
      <c r="E19" s="2">
        <v>48804.22</v>
      </c>
      <c r="F19" s="2">
        <v>7057</v>
      </c>
      <c r="G19" s="2">
        <v>5.0000000000000001E-3</v>
      </c>
      <c r="H19" s="2">
        <v>15</v>
      </c>
      <c r="I19" s="2">
        <v>87.7</v>
      </c>
      <c r="J19" s="2">
        <v>1.22</v>
      </c>
      <c r="K19" s="2">
        <v>0</v>
      </c>
      <c r="L19" s="2">
        <v>3.7</v>
      </c>
      <c r="M19" s="2">
        <v>666152.52</v>
      </c>
      <c r="N19" s="2">
        <v>107490.58</v>
      </c>
    </row>
    <row r="20" spans="1:14" x14ac:dyDescent="0.45">
      <c r="A20" s="2" t="s">
        <v>62</v>
      </c>
      <c r="B20" s="3">
        <v>45689</v>
      </c>
      <c r="C20" s="2" t="s">
        <v>63</v>
      </c>
      <c r="D20" s="2" t="s">
        <v>55</v>
      </c>
      <c r="E20" s="2">
        <v>59117.9</v>
      </c>
      <c r="F20" s="2">
        <v>4263</v>
      </c>
      <c r="G20" s="2">
        <v>0.11899999999999999</v>
      </c>
      <c r="H20" s="2">
        <v>9</v>
      </c>
      <c r="I20" s="2">
        <v>87.6</v>
      </c>
      <c r="J20" s="2">
        <v>4.01</v>
      </c>
      <c r="K20" s="2">
        <v>0</v>
      </c>
      <c r="L20" s="2">
        <v>3.6</v>
      </c>
      <c r="M20" s="2">
        <v>573155.18999999994</v>
      </c>
      <c r="N20" s="2">
        <v>83680.75</v>
      </c>
    </row>
    <row r="21" spans="1:14" x14ac:dyDescent="0.45">
      <c r="A21" s="2" t="s">
        <v>62</v>
      </c>
      <c r="B21" s="3">
        <v>45717</v>
      </c>
      <c r="C21" s="2" t="s">
        <v>63</v>
      </c>
      <c r="D21" s="2" t="s">
        <v>55</v>
      </c>
      <c r="E21" s="2">
        <v>78831.12</v>
      </c>
      <c r="F21" s="2">
        <v>5538</v>
      </c>
      <c r="G21" s="2">
        <v>0</v>
      </c>
      <c r="H21" s="2">
        <v>15</v>
      </c>
      <c r="I21" s="2">
        <v>94.1</v>
      </c>
      <c r="J21" s="2">
        <v>0.2</v>
      </c>
      <c r="K21" s="2">
        <v>0</v>
      </c>
      <c r="L21" s="2">
        <v>3.9</v>
      </c>
      <c r="M21" s="2">
        <v>666573.19999999995</v>
      </c>
      <c r="N21" s="2">
        <v>140641.01999999999</v>
      </c>
    </row>
    <row r="22" spans="1:14" x14ac:dyDescent="0.45">
      <c r="A22" s="2" t="s">
        <v>62</v>
      </c>
      <c r="B22" s="3">
        <v>45748</v>
      </c>
      <c r="C22" s="2" t="s">
        <v>63</v>
      </c>
      <c r="D22" s="2" t="s">
        <v>55</v>
      </c>
      <c r="E22" s="2">
        <v>41441.93</v>
      </c>
      <c r="F22" s="2">
        <v>4865</v>
      </c>
      <c r="G22" s="2">
        <v>0.158</v>
      </c>
      <c r="H22" s="2">
        <v>16</v>
      </c>
      <c r="I22" s="2">
        <v>88.3</v>
      </c>
      <c r="J22" s="2">
        <v>0.5</v>
      </c>
      <c r="K22" s="2">
        <v>0</v>
      </c>
      <c r="L22" s="2">
        <v>4</v>
      </c>
      <c r="M22" s="2">
        <v>591619.94999999995</v>
      </c>
      <c r="N22" s="2">
        <v>99521.35</v>
      </c>
    </row>
    <row r="23" spans="1:14" x14ac:dyDescent="0.45">
      <c r="A23" s="2" t="s">
        <v>64</v>
      </c>
      <c r="B23" s="3">
        <v>45658</v>
      </c>
      <c r="C23" s="2" t="s">
        <v>59</v>
      </c>
      <c r="D23" s="2" t="s">
        <v>55</v>
      </c>
      <c r="E23" s="2">
        <v>30356.28</v>
      </c>
      <c r="F23" s="2">
        <v>2822</v>
      </c>
      <c r="G23" s="2">
        <v>0.23100000000000001</v>
      </c>
      <c r="H23" s="2">
        <v>9</v>
      </c>
      <c r="I23" s="2">
        <v>84.8</v>
      </c>
      <c r="J23" s="2">
        <v>6.95</v>
      </c>
      <c r="K23" s="2">
        <v>0</v>
      </c>
      <c r="L23" s="2">
        <v>5</v>
      </c>
      <c r="M23" s="2">
        <v>415721.82</v>
      </c>
      <c r="N23" s="2">
        <v>61179.15</v>
      </c>
    </row>
    <row r="24" spans="1:14" x14ac:dyDescent="0.45">
      <c r="A24" s="2" t="s">
        <v>64</v>
      </c>
      <c r="B24" s="3">
        <v>45689</v>
      </c>
      <c r="C24" s="2" t="s">
        <v>59</v>
      </c>
      <c r="D24" s="2" t="s">
        <v>55</v>
      </c>
      <c r="E24" s="2">
        <v>33518.879999999997</v>
      </c>
      <c r="F24" s="2">
        <v>2121</v>
      </c>
      <c r="G24" s="2">
        <v>0.17599999999999999</v>
      </c>
      <c r="H24" s="2">
        <v>8</v>
      </c>
      <c r="I24" s="2">
        <v>88.5</v>
      </c>
      <c r="J24" s="2">
        <v>0.2</v>
      </c>
      <c r="K24" s="2">
        <v>0</v>
      </c>
      <c r="L24" s="2">
        <v>5</v>
      </c>
      <c r="M24" s="2">
        <v>491905.13</v>
      </c>
      <c r="N24" s="2">
        <v>79212.259999999995</v>
      </c>
    </row>
    <row r="25" spans="1:14" x14ac:dyDescent="0.45">
      <c r="A25" s="2" t="s">
        <v>64</v>
      </c>
      <c r="B25" s="3">
        <v>45717</v>
      </c>
      <c r="C25" s="2" t="s">
        <v>59</v>
      </c>
      <c r="D25" s="2" t="s">
        <v>55</v>
      </c>
      <c r="E25" s="2">
        <v>42267.37</v>
      </c>
      <c r="F25" s="2">
        <v>3364</v>
      </c>
      <c r="G25" s="2">
        <v>0.16</v>
      </c>
      <c r="H25" s="2">
        <v>13</v>
      </c>
      <c r="I25" s="2">
        <v>82</v>
      </c>
      <c r="J25" s="2">
        <v>1.61</v>
      </c>
      <c r="K25" s="2">
        <v>1</v>
      </c>
      <c r="L25" s="2">
        <v>4.5999999999999996</v>
      </c>
      <c r="M25" s="2">
        <v>555929.4</v>
      </c>
      <c r="N25" s="2">
        <v>115201.76</v>
      </c>
    </row>
    <row r="26" spans="1:14" x14ac:dyDescent="0.45">
      <c r="A26" s="2" t="s">
        <v>64</v>
      </c>
      <c r="B26" s="3">
        <v>45748</v>
      </c>
      <c r="C26" s="2" t="s">
        <v>59</v>
      </c>
      <c r="D26" s="2" t="s">
        <v>55</v>
      </c>
      <c r="E26" s="2">
        <v>62060.43</v>
      </c>
      <c r="F26" s="2">
        <v>2613</v>
      </c>
      <c r="G26" s="2">
        <v>0.216</v>
      </c>
      <c r="H26" s="2">
        <v>12</v>
      </c>
      <c r="I26" s="2">
        <v>92.1</v>
      </c>
      <c r="J26" s="2">
        <v>1.55</v>
      </c>
      <c r="K26" s="2">
        <v>0</v>
      </c>
      <c r="L26" s="2">
        <v>4.7</v>
      </c>
      <c r="M26" s="2">
        <v>565810.99</v>
      </c>
      <c r="N26" s="2">
        <v>77825.460000000006</v>
      </c>
    </row>
    <row r="27" spans="1:14" x14ac:dyDescent="0.45">
      <c r="A27" s="2" t="s">
        <v>65</v>
      </c>
      <c r="B27" s="3">
        <v>45658</v>
      </c>
      <c r="C27" s="2" t="s">
        <v>66</v>
      </c>
      <c r="D27" s="2" t="s">
        <v>67</v>
      </c>
      <c r="E27" s="2">
        <v>57696.69</v>
      </c>
      <c r="F27" s="2">
        <v>10218</v>
      </c>
      <c r="G27" s="2">
        <v>0.121</v>
      </c>
      <c r="H27" s="2">
        <v>25</v>
      </c>
      <c r="I27" s="2">
        <v>94.8</v>
      </c>
      <c r="J27" s="2">
        <v>2.99</v>
      </c>
      <c r="K27" s="2">
        <v>0</v>
      </c>
      <c r="L27" s="2">
        <v>3.5</v>
      </c>
      <c r="M27" s="2">
        <v>811771.14</v>
      </c>
      <c r="N27" s="2">
        <v>148756.24</v>
      </c>
    </row>
    <row r="28" spans="1:14" x14ac:dyDescent="0.45">
      <c r="A28" s="2" t="s">
        <v>65</v>
      </c>
      <c r="B28" s="3">
        <v>45689</v>
      </c>
      <c r="C28" s="2" t="s">
        <v>66</v>
      </c>
      <c r="D28" s="2" t="s">
        <v>67</v>
      </c>
      <c r="E28" s="2">
        <v>172415.52</v>
      </c>
      <c r="F28" s="2">
        <v>8927</v>
      </c>
      <c r="G28" s="2">
        <v>0.14000000000000001</v>
      </c>
      <c r="H28" s="2">
        <v>22</v>
      </c>
      <c r="I28" s="2">
        <v>86.2</v>
      </c>
      <c r="J28" s="2">
        <v>7.04</v>
      </c>
      <c r="K28" s="2">
        <v>0</v>
      </c>
      <c r="L28" s="2">
        <v>3.9</v>
      </c>
      <c r="M28" s="2">
        <v>800451.94</v>
      </c>
      <c r="N28" s="2">
        <v>111572.29</v>
      </c>
    </row>
    <row r="29" spans="1:14" x14ac:dyDescent="0.45">
      <c r="A29" s="2" t="s">
        <v>65</v>
      </c>
      <c r="B29" s="3">
        <v>45717</v>
      </c>
      <c r="C29" s="2" t="s">
        <v>66</v>
      </c>
      <c r="D29" s="2" t="s">
        <v>67</v>
      </c>
      <c r="E29" s="2">
        <v>55270.52</v>
      </c>
      <c r="F29" s="2">
        <v>9315</v>
      </c>
      <c r="G29" s="2">
        <v>0.16900000000000001</v>
      </c>
      <c r="H29" s="2">
        <v>23</v>
      </c>
      <c r="I29" s="2">
        <v>91.9</v>
      </c>
      <c r="J29" s="2">
        <v>4.9400000000000004</v>
      </c>
      <c r="K29" s="2">
        <v>0</v>
      </c>
      <c r="L29" s="2">
        <v>4</v>
      </c>
      <c r="M29" s="2">
        <v>783672.82</v>
      </c>
      <c r="N29" s="2">
        <v>112577.14</v>
      </c>
    </row>
    <row r="30" spans="1:14" x14ac:dyDescent="0.45">
      <c r="A30" s="2" t="s">
        <v>65</v>
      </c>
      <c r="B30" s="3">
        <v>45748</v>
      </c>
      <c r="C30" s="2" t="s">
        <v>66</v>
      </c>
      <c r="D30" s="2" t="s">
        <v>67</v>
      </c>
      <c r="E30" s="2">
        <v>52715.1</v>
      </c>
      <c r="F30" s="2">
        <v>7223</v>
      </c>
      <c r="G30" s="2">
        <v>0.122</v>
      </c>
      <c r="H30" s="2">
        <v>16</v>
      </c>
      <c r="I30" s="2">
        <v>84.2</v>
      </c>
      <c r="J30" s="2">
        <v>16.149999999999999</v>
      </c>
      <c r="K30" s="2">
        <v>0</v>
      </c>
      <c r="L30" s="2">
        <v>3.7</v>
      </c>
      <c r="M30" s="2">
        <v>701641.97</v>
      </c>
      <c r="N30" s="2">
        <v>106111.86</v>
      </c>
    </row>
    <row r="31" spans="1:14" x14ac:dyDescent="0.45">
      <c r="A31" s="2" t="s">
        <v>68</v>
      </c>
      <c r="B31" s="3">
        <v>45658</v>
      </c>
      <c r="C31" s="2" t="s">
        <v>54</v>
      </c>
      <c r="D31" s="2" t="s">
        <v>55</v>
      </c>
      <c r="E31" s="2">
        <v>68600.62</v>
      </c>
      <c r="F31" s="2">
        <v>3988</v>
      </c>
      <c r="G31" s="2">
        <v>0.124</v>
      </c>
      <c r="H31" s="2">
        <v>11</v>
      </c>
      <c r="I31" s="2">
        <v>85</v>
      </c>
      <c r="J31" s="2">
        <v>0.48</v>
      </c>
      <c r="K31" s="2">
        <v>0</v>
      </c>
      <c r="L31" s="2">
        <v>3.6</v>
      </c>
      <c r="M31" s="2">
        <v>511844.41</v>
      </c>
      <c r="N31" s="2">
        <v>72774.44</v>
      </c>
    </row>
    <row r="32" spans="1:14" x14ac:dyDescent="0.45">
      <c r="A32" s="2" t="s">
        <v>68</v>
      </c>
      <c r="B32" s="3">
        <v>45689</v>
      </c>
      <c r="C32" s="2" t="s">
        <v>54</v>
      </c>
      <c r="D32" s="2" t="s">
        <v>55</v>
      </c>
      <c r="E32" s="2">
        <v>63176.73</v>
      </c>
      <c r="F32" s="2">
        <v>2390</v>
      </c>
      <c r="G32" s="2">
        <v>0.216</v>
      </c>
      <c r="H32" s="2">
        <v>9</v>
      </c>
      <c r="I32" s="2">
        <v>87.5</v>
      </c>
      <c r="J32" s="2">
        <v>0.31</v>
      </c>
      <c r="K32" s="2">
        <v>0</v>
      </c>
      <c r="L32" s="2">
        <v>3.1</v>
      </c>
      <c r="M32" s="2">
        <v>537383.79</v>
      </c>
      <c r="N32" s="2">
        <v>63773.27</v>
      </c>
    </row>
    <row r="33" spans="1:14" x14ac:dyDescent="0.45">
      <c r="A33" s="2" t="s">
        <v>68</v>
      </c>
      <c r="B33" s="3">
        <v>45717</v>
      </c>
      <c r="C33" s="2" t="s">
        <v>54</v>
      </c>
      <c r="D33" s="2" t="s">
        <v>55</v>
      </c>
      <c r="E33" s="2">
        <v>44970.080000000002</v>
      </c>
      <c r="F33" s="2">
        <v>2471</v>
      </c>
      <c r="G33" s="2">
        <v>0.13600000000000001</v>
      </c>
      <c r="H33" s="2">
        <v>11</v>
      </c>
      <c r="I33" s="2">
        <v>87.6</v>
      </c>
      <c r="J33" s="2">
        <v>3.01</v>
      </c>
      <c r="K33" s="2">
        <v>1</v>
      </c>
      <c r="L33" s="2">
        <v>3.7</v>
      </c>
      <c r="M33" s="2">
        <v>500173.02</v>
      </c>
      <c r="N33" s="2">
        <v>70982.05</v>
      </c>
    </row>
    <row r="34" spans="1:14" x14ac:dyDescent="0.45">
      <c r="A34" s="2" t="s">
        <v>68</v>
      </c>
      <c r="B34" s="3">
        <v>45748</v>
      </c>
      <c r="C34" s="2" t="s">
        <v>54</v>
      </c>
      <c r="D34" s="2" t="s">
        <v>55</v>
      </c>
      <c r="E34" s="2">
        <v>69816.350000000006</v>
      </c>
      <c r="F34" s="2">
        <v>971</v>
      </c>
      <c r="G34" s="2">
        <v>0.16800000000000001</v>
      </c>
      <c r="H34" s="2">
        <v>5</v>
      </c>
      <c r="I34" s="2">
        <v>89.9</v>
      </c>
      <c r="J34" s="2">
        <v>12.15</v>
      </c>
      <c r="K34" s="2">
        <v>0</v>
      </c>
      <c r="L34" s="2">
        <v>3.6</v>
      </c>
      <c r="M34" s="2">
        <v>427917.38</v>
      </c>
      <c r="N34" s="2">
        <v>81824.31</v>
      </c>
    </row>
    <row r="35" spans="1:14" x14ac:dyDescent="0.45">
      <c r="A35" s="2" t="s">
        <v>69</v>
      </c>
      <c r="B35" s="3">
        <v>45658</v>
      </c>
      <c r="C35" s="2" t="s">
        <v>59</v>
      </c>
      <c r="D35" s="2" t="s">
        <v>55</v>
      </c>
      <c r="E35" s="2">
        <v>54597.83</v>
      </c>
      <c r="F35" s="2">
        <v>9429</v>
      </c>
      <c r="G35" s="2">
        <v>0.188</v>
      </c>
      <c r="H35" s="2">
        <v>21</v>
      </c>
      <c r="I35" s="2">
        <v>83.3</v>
      </c>
      <c r="J35" s="2">
        <v>11.71</v>
      </c>
      <c r="K35" s="2">
        <v>0</v>
      </c>
      <c r="L35" s="2">
        <v>4.2</v>
      </c>
      <c r="M35" s="2">
        <v>641865.03</v>
      </c>
      <c r="N35" s="2">
        <v>81342.58</v>
      </c>
    </row>
    <row r="36" spans="1:14" x14ac:dyDescent="0.45">
      <c r="A36" s="2" t="s">
        <v>69</v>
      </c>
      <c r="B36" s="3">
        <v>45689</v>
      </c>
      <c r="C36" s="2" t="s">
        <v>59</v>
      </c>
      <c r="D36" s="2" t="s">
        <v>55</v>
      </c>
      <c r="E36" s="2">
        <v>73771.91</v>
      </c>
      <c r="F36" s="2">
        <v>11695</v>
      </c>
      <c r="G36" s="2">
        <v>7.0000000000000007E-2</v>
      </c>
      <c r="H36" s="2">
        <v>25</v>
      </c>
      <c r="I36" s="2">
        <v>84.7</v>
      </c>
      <c r="J36" s="2">
        <v>0.62</v>
      </c>
      <c r="K36" s="2">
        <v>0</v>
      </c>
      <c r="L36" s="2"/>
      <c r="M36" s="2">
        <v>799477.76000000001</v>
      </c>
      <c r="N36" s="2">
        <v>164974.41</v>
      </c>
    </row>
    <row r="37" spans="1:14" x14ac:dyDescent="0.45">
      <c r="A37" s="2" t="s">
        <v>69</v>
      </c>
      <c r="B37" s="3">
        <v>45717</v>
      </c>
      <c r="C37" s="2" t="s">
        <v>59</v>
      </c>
      <c r="D37" s="2" t="s">
        <v>55</v>
      </c>
      <c r="E37" s="2">
        <v>74413.88</v>
      </c>
      <c r="F37" s="2">
        <v>9449</v>
      </c>
      <c r="G37" s="2">
        <v>3.9E-2</v>
      </c>
      <c r="H37" s="2">
        <v>23</v>
      </c>
      <c r="I37" s="2">
        <v>92.1</v>
      </c>
      <c r="J37" s="2">
        <v>2.12</v>
      </c>
      <c r="K37" s="2">
        <v>0</v>
      </c>
      <c r="L37" s="2">
        <v>3.5</v>
      </c>
      <c r="M37" s="2">
        <v>798952.17</v>
      </c>
      <c r="N37" s="2">
        <v>161499.04</v>
      </c>
    </row>
    <row r="38" spans="1:14" x14ac:dyDescent="0.45">
      <c r="A38" s="2" t="s">
        <v>69</v>
      </c>
      <c r="B38" s="3">
        <v>45748</v>
      </c>
      <c r="C38" s="2" t="s">
        <v>59</v>
      </c>
      <c r="D38" s="2" t="s">
        <v>55</v>
      </c>
      <c r="E38" s="2">
        <v>52483.77</v>
      </c>
      <c r="F38" s="2">
        <v>10453</v>
      </c>
      <c r="G38" s="2">
        <v>0.247</v>
      </c>
      <c r="H38" s="2">
        <v>25</v>
      </c>
      <c r="I38" s="2">
        <v>99</v>
      </c>
      <c r="J38" s="2">
        <v>6.31</v>
      </c>
      <c r="K38" s="2">
        <v>0</v>
      </c>
      <c r="L38" s="2">
        <v>3.6</v>
      </c>
      <c r="M38" s="2">
        <v>800979.78</v>
      </c>
      <c r="N38" s="2">
        <v>149242.26999999999</v>
      </c>
    </row>
    <row r="39" spans="1:14" x14ac:dyDescent="0.45">
      <c r="A39" s="2" t="s">
        <v>70</v>
      </c>
      <c r="B39" s="3">
        <v>45658</v>
      </c>
      <c r="C39" s="2" t="s">
        <v>59</v>
      </c>
      <c r="D39" s="2" t="s">
        <v>67</v>
      </c>
      <c r="E39" s="2">
        <v>75269.87</v>
      </c>
      <c r="F39" s="2">
        <v>8838</v>
      </c>
      <c r="G39" s="2">
        <v>9.1999999999999998E-2</v>
      </c>
      <c r="H39" s="2">
        <v>21</v>
      </c>
      <c r="I39" s="2">
        <v>83.1</v>
      </c>
      <c r="J39" s="2">
        <v>9.56</v>
      </c>
      <c r="K39" s="2">
        <v>1</v>
      </c>
      <c r="L39" s="2">
        <v>4.2</v>
      </c>
      <c r="M39" s="2">
        <v>820593.93</v>
      </c>
      <c r="N39" s="2">
        <v>115860.06</v>
      </c>
    </row>
    <row r="40" spans="1:14" x14ac:dyDescent="0.45">
      <c r="A40" s="2" t="s">
        <v>70</v>
      </c>
      <c r="B40" s="3">
        <v>45689</v>
      </c>
      <c r="C40" s="2" t="s">
        <v>59</v>
      </c>
      <c r="D40" s="2" t="s">
        <v>67</v>
      </c>
      <c r="E40" s="2">
        <v>61245.41</v>
      </c>
      <c r="F40" s="2">
        <v>8156</v>
      </c>
      <c r="G40" s="2">
        <v>0.156</v>
      </c>
      <c r="H40" s="2">
        <v>19</v>
      </c>
      <c r="I40" s="2">
        <v>92.9</v>
      </c>
      <c r="J40" s="2">
        <v>9.0500000000000007</v>
      </c>
      <c r="K40" s="2">
        <v>0</v>
      </c>
      <c r="L40" s="2">
        <v>3.8</v>
      </c>
      <c r="M40" s="2">
        <v>718330.53</v>
      </c>
      <c r="N40" s="2">
        <v>93247.9</v>
      </c>
    </row>
    <row r="41" spans="1:14" x14ac:dyDescent="0.45">
      <c r="A41" s="2" t="s">
        <v>70</v>
      </c>
      <c r="B41" s="3">
        <v>45717</v>
      </c>
      <c r="C41" s="2" t="s">
        <v>59</v>
      </c>
      <c r="D41" s="2" t="s">
        <v>67</v>
      </c>
      <c r="E41" s="2">
        <v>93381.26</v>
      </c>
      <c r="F41" s="2">
        <v>7562</v>
      </c>
      <c r="G41" s="2">
        <v>0.19800000000000001</v>
      </c>
      <c r="H41" s="2">
        <v>19</v>
      </c>
      <c r="I41" s="2">
        <v>82.9</v>
      </c>
      <c r="J41" s="2">
        <v>5.05</v>
      </c>
      <c r="K41" s="2">
        <v>0</v>
      </c>
      <c r="L41" s="2">
        <v>4</v>
      </c>
      <c r="M41" s="2">
        <v>736633.4</v>
      </c>
      <c r="N41" s="2">
        <v>115654.66</v>
      </c>
    </row>
    <row r="42" spans="1:14" x14ac:dyDescent="0.45">
      <c r="A42" s="2" t="s">
        <v>70</v>
      </c>
      <c r="B42" s="3">
        <v>45748</v>
      </c>
      <c r="C42" s="2" t="s">
        <v>59</v>
      </c>
      <c r="D42" s="2" t="s">
        <v>67</v>
      </c>
      <c r="E42" s="2">
        <v>65012.19</v>
      </c>
      <c r="F42" s="2">
        <v>9598</v>
      </c>
      <c r="G42" s="2">
        <v>8.5000000000000006E-2</v>
      </c>
      <c r="H42" s="2">
        <v>24</v>
      </c>
      <c r="I42" s="2">
        <v>98.3</v>
      </c>
      <c r="J42" s="2">
        <v>0.89</v>
      </c>
      <c r="K42" s="2">
        <v>0</v>
      </c>
      <c r="L42" s="2">
        <v>3.8</v>
      </c>
      <c r="M42" s="2">
        <v>828623.85</v>
      </c>
      <c r="N42" s="2">
        <v>167320.51999999999</v>
      </c>
    </row>
    <row r="43" spans="1:14" x14ac:dyDescent="0.45">
      <c r="A43" s="2" t="s">
        <v>71</v>
      </c>
      <c r="B43" s="3">
        <v>45658</v>
      </c>
      <c r="C43" s="2" t="s">
        <v>54</v>
      </c>
      <c r="D43" s="2" t="s">
        <v>67</v>
      </c>
      <c r="E43" s="2">
        <v>40462.94</v>
      </c>
      <c r="F43" s="2">
        <v>3660</v>
      </c>
      <c r="G43" s="2">
        <v>0.218</v>
      </c>
      <c r="H43" s="2">
        <v>11</v>
      </c>
      <c r="I43" s="2">
        <v>95.2</v>
      </c>
      <c r="J43" s="2">
        <v>5.57</v>
      </c>
      <c r="K43" s="2">
        <v>0</v>
      </c>
      <c r="L43" s="2">
        <v>4.4000000000000004</v>
      </c>
      <c r="M43" s="2">
        <v>592195.85</v>
      </c>
      <c r="N43" s="2">
        <v>92291.56</v>
      </c>
    </row>
    <row r="44" spans="1:14" x14ac:dyDescent="0.45">
      <c r="A44" s="2" t="s">
        <v>71</v>
      </c>
      <c r="B44" s="3">
        <v>45689</v>
      </c>
      <c r="C44" s="2" t="s">
        <v>54</v>
      </c>
      <c r="D44" s="2" t="s">
        <v>67</v>
      </c>
      <c r="E44" s="2">
        <v>46123.88</v>
      </c>
      <c r="F44" s="2">
        <v>3227</v>
      </c>
      <c r="G44" s="2">
        <v>0.14299999999999999</v>
      </c>
      <c r="H44" s="2">
        <v>10</v>
      </c>
      <c r="I44" s="2">
        <v>75.400000000000006</v>
      </c>
      <c r="J44" s="2">
        <v>1.06</v>
      </c>
      <c r="K44" s="2">
        <v>0</v>
      </c>
      <c r="L44" s="2">
        <v>4.4000000000000004</v>
      </c>
      <c r="M44" s="2">
        <v>532644.46</v>
      </c>
      <c r="N44" s="2">
        <v>60681.32</v>
      </c>
    </row>
    <row r="45" spans="1:14" x14ac:dyDescent="0.45">
      <c r="A45" s="2" t="s">
        <v>71</v>
      </c>
      <c r="B45" s="3">
        <v>45717</v>
      </c>
      <c r="C45" s="2" t="s">
        <v>54</v>
      </c>
      <c r="D45" s="2" t="s">
        <v>67</v>
      </c>
      <c r="E45" s="2">
        <v>68077.539999999994</v>
      </c>
      <c r="F45" s="2">
        <v>3360</v>
      </c>
      <c r="G45" s="2">
        <v>0.128</v>
      </c>
      <c r="H45" s="2">
        <v>14</v>
      </c>
      <c r="I45" s="2">
        <v>88.2</v>
      </c>
      <c r="J45" s="2">
        <v>1.24</v>
      </c>
      <c r="K45" s="2">
        <v>1</v>
      </c>
      <c r="L45" s="2">
        <v>4</v>
      </c>
      <c r="M45" s="2">
        <v>657429.18000000005</v>
      </c>
      <c r="N45" s="2">
        <v>88919.74</v>
      </c>
    </row>
    <row r="46" spans="1:14" x14ac:dyDescent="0.45">
      <c r="A46" s="2" t="s">
        <v>71</v>
      </c>
      <c r="B46" s="3">
        <v>45748</v>
      </c>
      <c r="C46" s="2" t="s">
        <v>54</v>
      </c>
      <c r="D46" s="2" t="s">
        <v>67</v>
      </c>
      <c r="E46" s="2">
        <v>64882.14</v>
      </c>
      <c r="F46" s="2">
        <v>3642</v>
      </c>
      <c r="G46" s="2">
        <v>1.9E-2</v>
      </c>
      <c r="H46" s="2">
        <v>13</v>
      </c>
      <c r="I46" s="2">
        <v>87.8</v>
      </c>
      <c r="J46" s="2">
        <v>4.5199999999999996</v>
      </c>
      <c r="K46" s="2">
        <v>0</v>
      </c>
      <c r="L46" s="2">
        <v>4.2</v>
      </c>
      <c r="M46" s="2">
        <v>605178</v>
      </c>
      <c r="N46" s="2">
        <v>106958.74</v>
      </c>
    </row>
    <row r="47" spans="1:14" x14ac:dyDescent="0.45">
      <c r="A47" s="2" t="s">
        <v>72</v>
      </c>
      <c r="B47" s="3">
        <v>45658</v>
      </c>
      <c r="C47" s="2" t="s">
        <v>66</v>
      </c>
      <c r="D47" s="2" t="s">
        <v>55</v>
      </c>
      <c r="E47" s="2">
        <v>138855.51</v>
      </c>
      <c r="F47" s="2">
        <v>5145</v>
      </c>
      <c r="G47" s="2">
        <v>0.06</v>
      </c>
      <c r="H47" s="2">
        <v>17</v>
      </c>
      <c r="I47" s="2">
        <v>88.2</v>
      </c>
      <c r="J47" s="2">
        <v>9.58</v>
      </c>
      <c r="K47" s="2">
        <v>0</v>
      </c>
      <c r="L47" s="2">
        <v>3.2</v>
      </c>
      <c r="M47" s="2">
        <v>595467.6</v>
      </c>
      <c r="N47" s="2">
        <v>104276.46</v>
      </c>
    </row>
    <row r="48" spans="1:14" x14ac:dyDescent="0.45">
      <c r="A48" s="2" t="s">
        <v>72</v>
      </c>
      <c r="B48" s="3">
        <v>45689</v>
      </c>
      <c r="C48" s="2" t="s">
        <v>66</v>
      </c>
      <c r="D48" s="2" t="s">
        <v>55</v>
      </c>
      <c r="E48" s="2">
        <v>63630.21</v>
      </c>
      <c r="F48" s="2">
        <v>4460</v>
      </c>
      <c r="G48" s="2">
        <v>0.23499999999999999</v>
      </c>
      <c r="H48" s="2">
        <v>14</v>
      </c>
      <c r="I48" s="2">
        <v>98.6</v>
      </c>
      <c r="J48" s="2">
        <v>5.52</v>
      </c>
      <c r="K48" s="2">
        <v>0</v>
      </c>
      <c r="L48" s="2">
        <v>3.5</v>
      </c>
      <c r="M48" s="2">
        <v>599603.4</v>
      </c>
      <c r="N48" s="2">
        <v>112685.12</v>
      </c>
    </row>
    <row r="49" spans="1:14" x14ac:dyDescent="0.45">
      <c r="A49" s="2" t="s">
        <v>72</v>
      </c>
      <c r="B49" s="3">
        <v>45717</v>
      </c>
      <c r="C49" s="2" t="s">
        <v>66</v>
      </c>
      <c r="D49" s="2" t="s">
        <v>55</v>
      </c>
      <c r="E49" s="2">
        <v>50043.65</v>
      </c>
      <c r="F49" s="2">
        <v>3804</v>
      </c>
      <c r="G49" s="2">
        <v>0.113</v>
      </c>
      <c r="H49" s="2">
        <v>11</v>
      </c>
      <c r="I49" s="2">
        <v>90.9</v>
      </c>
      <c r="J49" s="2">
        <v>2.7</v>
      </c>
      <c r="K49" s="2">
        <v>1</v>
      </c>
      <c r="L49" s="2">
        <v>3.2</v>
      </c>
      <c r="M49" s="2">
        <v>614800.09</v>
      </c>
      <c r="N49" s="2">
        <v>100044.2</v>
      </c>
    </row>
    <row r="50" spans="1:14" x14ac:dyDescent="0.45">
      <c r="A50" s="2" t="s">
        <v>72</v>
      </c>
      <c r="B50" s="3">
        <v>45748</v>
      </c>
      <c r="C50" s="2" t="s">
        <v>66</v>
      </c>
      <c r="D50" s="2" t="s">
        <v>55</v>
      </c>
      <c r="E50" s="2">
        <v>42093.84</v>
      </c>
      <c r="F50" s="2">
        <v>4074</v>
      </c>
      <c r="G50" s="2">
        <v>0.155</v>
      </c>
      <c r="H50" s="2">
        <v>15</v>
      </c>
      <c r="I50" s="2">
        <v>88</v>
      </c>
      <c r="J50" s="2">
        <v>9.64</v>
      </c>
      <c r="K50" s="2">
        <v>0</v>
      </c>
      <c r="L50" s="2">
        <v>3.3</v>
      </c>
      <c r="M50" s="2">
        <v>585365.73</v>
      </c>
      <c r="N50" s="2">
        <v>81011.520000000004</v>
      </c>
    </row>
    <row r="51" spans="1:14" x14ac:dyDescent="0.45">
      <c r="A51" s="2" t="s">
        <v>73</v>
      </c>
      <c r="B51" s="3">
        <v>45658</v>
      </c>
      <c r="C51" s="2" t="s">
        <v>59</v>
      </c>
      <c r="D51" s="2" t="s">
        <v>67</v>
      </c>
      <c r="E51" s="2">
        <v>46624.05</v>
      </c>
      <c r="F51" s="2">
        <v>5104</v>
      </c>
      <c r="G51" s="2">
        <v>0.109</v>
      </c>
      <c r="H51" s="2">
        <v>11</v>
      </c>
      <c r="I51" s="2">
        <v>97.3</v>
      </c>
      <c r="J51" s="2">
        <v>3.49</v>
      </c>
      <c r="K51" s="2">
        <v>1</v>
      </c>
      <c r="L51" s="2">
        <v>4.7</v>
      </c>
      <c r="M51" s="2">
        <v>622811.74</v>
      </c>
      <c r="N51" s="2">
        <v>109978.35</v>
      </c>
    </row>
    <row r="52" spans="1:14" x14ac:dyDescent="0.45">
      <c r="A52" s="2" t="s">
        <v>73</v>
      </c>
      <c r="B52" s="3">
        <v>45689</v>
      </c>
      <c r="C52" s="2" t="s">
        <v>59</v>
      </c>
      <c r="D52" s="2" t="s">
        <v>67</v>
      </c>
      <c r="E52" s="2">
        <v>49710.29</v>
      </c>
      <c r="F52" s="2">
        <v>5559</v>
      </c>
      <c r="G52" s="2">
        <v>0.218</v>
      </c>
      <c r="H52" s="2">
        <v>14</v>
      </c>
      <c r="I52" s="2">
        <v>71</v>
      </c>
      <c r="J52" s="2">
        <v>9.11</v>
      </c>
      <c r="K52" s="2">
        <v>0</v>
      </c>
      <c r="L52" s="2">
        <v>4.5999999999999996</v>
      </c>
      <c r="M52" s="2">
        <v>603297.56999999995</v>
      </c>
      <c r="N52" s="2">
        <v>60592.26</v>
      </c>
    </row>
    <row r="53" spans="1:14" x14ac:dyDescent="0.45">
      <c r="A53" s="2" t="s">
        <v>73</v>
      </c>
      <c r="B53" s="3">
        <v>45717</v>
      </c>
      <c r="C53" s="2" t="s">
        <v>59</v>
      </c>
      <c r="D53" s="2" t="s">
        <v>67</v>
      </c>
      <c r="E53" s="2">
        <v>48287.85</v>
      </c>
      <c r="F53" s="2">
        <v>5150</v>
      </c>
      <c r="G53" s="2">
        <v>8.0000000000000002E-3</v>
      </c>
      <c r="H53" s="2">
        <v>12</v>
      </c>
      <c r="I53" s="2">
        <v>80.400000000000006</v>
      </c>
      <c r="J53" s="2">
        <v>7.4</v>
      </c>
      <c r="K53" s="2">
        <v>0</v>
      </c>
      <c r="L53" s="2">
        <v>4.5</v>
      </c>
      <c r="M53" s="2">
        <v>625672.86</v>
      </c>
      <c r="N53" s="2">
        <v>118020.12</v>
      </c>
    </row>
    <row r="54" spans="1:14" x14ac:dyDescent="0.45">
      <c r="A54" s="2" t="s">
        <v>73</v>
      </c>
      <c r="B54" s="3">
        <v>45748</v>
      </c>
      <c r="C54" s="2" t="s">
        <v>59</v>
      </c>
      <c r="D54" s="2" t="s">
        <v>67</v>
      </c>
      <c r="E54" s="2">
        <v>65312.49</v>
      </c>
      <c r="F54" s="2">
        <v>7189</v>
      </c>
      <c r="G54" s="2">
        <v>0.05</v>
      </c>
      <c r="H54" s="2">
        <v>19</v>
      </c>
      <c r="I54" s="2">
        <v>93.7</v>
      </c>
      <c r="J54" s="2">
        <v>7.16</v>
      </c>
      <c r="K54" s="2">
        <v>0</v>
      </c>
      <c r="L54" s="2">
        <v>4.5999999999999996</v>
      </c>
      <c r="M54" s="2">
        <v>773815.14</v>
      </c>
      <c r="N54" s="2">
        <v>133948.39000000001</v>
      </c>
    </row>
    <row r="55" spans="1:14" x14ac:dyDescent="0.45">
      <c r="A55" s="2" t="s">
        <v>74</v>
      </c>
      <c r="B55" s="3">
        <v>45658</v>
      </c>
      <c r="C55" s="2" t="s">
        <v>66</v>
      </c>
      <c r="D55" s="2" t="s">
        <v>57</v>
      </c>
      <c r="E55" s="2">
        <v>53015.46</v>
      </c>
      <c r="F55" s="2">
        <v>3279</v>
      </c>
      <c r="G55" s="2">
        <v>8.6999999999999994E-2</v>
      </c>
      <c r="H55" s="2">
        <v>9</v>
      </c>
      <c r="I55" s="2">
        <v>84.3</v>
      </c>
      <c r="J55" s="2">
        <v>22.02</v>
      </c>
      <c r="K55" s="2">
        <v>0</v>
      </c>
      <c r="L55" s="2">
        <v>3.9</v>
      </c>
      <c r="M55" s="2">
        <v>463534.25</v>
      </c>
      <c r="N55" s="2">
        <v>81834.539999999994</v>
      </c>
    </row>
    <row r="56" spans="1:14" x14ac:dyDescent="0.45">
      <c r="A56" s="2" t="s">
        <v>74</v>
      </c>
      <c r="B56" s="3">
        <v>45689</v>
      </c>
      <c r="C56" s="2" t="s">
        <v>66</v>
      </c>
      <c r="D56" s="2" t="s">
        <v>57</v>
      </c>
      <c r="E56" s="2">
        <v>99874.01</v>
      </c>
      <c r="F56" s="2">
        <v>5887</v>
      </c>
      <c r="G56" s="2">
        <v>0.26200000000000001</v>
      </c>
      <c r="H56" s="2">
        <v>14</v>
      </c>
      <c r="I56" s="2">
        <v>88.7</v>
      </c>
      <c r="J56" s="2">
        <v>6.18</v>
      </c>
      <c r="K56" s="2">
        <v>0</v>
      </c>
      <c r="L56" s="2">
        <v>4.7</v>
      </c>
      <c r="M56" s="2">
        <v>746677.75</v>
      </c>
      <c r="N56" s="2">
        <v>122437.84</v>
      </c>
    </row>
    <row r="57" spans="1:14" x14ac:dyDescent="0.45">
      <c r="A57" s="2" t="s">
        <v>74</v>
      </c>
      <c r="B57" s="3">
        <v>45717</v>
      </c>
      <c r="C57" s="2" t="s">
        <v>66</v>
      </c>
      <c r="D57" s="2" t="s">
        <v>57</v>
      </c>
      <c r="E57" s="2">
        <v>81195.5</v>
      </c>
      <c r="F57" s="2">
        <v>5516</v>
      </c>
      <c r="G57" s="2">
        <v>0.106</v>
      </c>
      <c r="H57" s="2">
        <v>14</v>
      </c>
      <c r="I57" s="2">
        <v>88</v>
      </c>
      <c r="J57" s="2">
        <v>1.76</v>
      </c>
      <c r="K57" s="2">
        <v>0</v>
      </c>
      <c r="L57" s="2">
        <v>4.3</v>
      </c>
      <c r="M57" s="2">
        <v>720852.5</v>
      </c>
      <c r="N57" s="2">
        <v>98565.62</v>
      </c>
    </row>
    <row r="58" spans="1:14" x14ac:dyDescent="0.45">
      <c r="A58" s="2" t="s">
        <v>74</v>
      </c>
      <c r="B58" s="3">
        <v>45748</v>
      </c>
      <c r="C58" s="2" t="s">
        <v>66</v>
      </c>
      <c r="D58" s="2" t="s">
        <v>57</v>
      </c>
      <c r="E58" s="2">
        <v>27808.6</v>
      </c>
      <c r="F58" s="2">
        <v>2863</v>
      </c>
      <c r="G58" s="2">
        <v>0.08</v>
      </c>
      <c r="H58" s="2">
        <v>13</v>
      </c>
      <c r="I58" s="2">
        <v>89.3</v>
      </c>
      <c r="J58" s="2">
        <v>0.47</v>
      </c>
      <c r="K58" s="2">
        <v>0</v>
      </c>
      <c r="L58" s="2">
        <v>4.0999999999999996</v>
      </c>
      <c r="M58" s="2">
        <v>487464.91</v>
      </c>
      <c r="N58" s="2">
        <v>64562.26</v>
      </c>
    </row>
    <row r="59" spans="1:14" x14ac:dyDescent="0.45">
      <c r="A59" s="2" t="s">
        <v>75</v>
      </c>
      <c r="B59" s="3">
        <v>45658</v>
      </c>
      <c r="C59" s="2" t="s">
        <v>54</v>
      </c>
      <c r="D59" s="2" t="s">
        <v>60</v>
      </c>
      <c r="E59" s="2">
        <v>19365.060000000001</v>
      </c>
      <c r="F59" s="2">
        <v>2378</v>
      </c>
      <c r="G59" s="2">
        <v>0</v>
      </c>
      <c r="H59" s="2">
        <v>12</v>
      </c>
      <c r="I59" s="2">
        <v>94.8</v>
      </c>
      <c r="J59" s="2">
        <v>0.2</v>
      </c>
      <c r="K59" s="2">
        <v>0</v>
      </c>
      <c r="L59" s="2">
        <v>3.5</v>
      </c>
      <c r="M59" s="2">
        <v>518049.26</v>
      </c>
      <c r="N59" s="2">
        <v>108592.49</v>
      </c>
    </row>
    <row r="60" spans="1:14" x14ac:dyDescent="0.45">
      <c r="A60" s="2" t="s">
        <v>75</v>
      </c>
      <c r="B60" s="3">
        <v>45689</v>
      </c>
      <c r="C60" s="2" t="s">
        <v>54</v>
      </c>
      <c r="D60" s="2" t="s">
        <v>60</v>
      </c>
      <c r="E60" s="2">
        <v>59405.68</v>
      </c>
      <c r="F60" s="2">
        <v>2515</v>
      </c>
      <c r="G60" s="2">
        <v>3.9E-2</v>
      </c>
      <c r="H60" s="2">
        <v>12</v>
      </c>
      <c r="I60" s="2">
        <v>76</v>
      </c>
      <c r="J60" s="2">
        <v>5.1100000000000003</v>
      </c>
      <c r="K60" s="2">
        <v>0</v>
      </c>
      <c r="L60" s="2">
        <v>3.7</v>
      </c>
      <c r="M60" s="2">
        <v>500298.48</v>
      </c>
      <c r="N60" s="2">
        <v>73461.320000000007</v>
      </c>
    </row>
    <row r="61" spans="1:14" x14ac:dyDescent="0.45">
      <c r="A61" s="2" t="s">
        <v>75</v>
      </c>
      <c r="B61" s="3">
        <v>45717</v>
      </c>
      <c r="C61" s="2" t="s">
        <v>54</v>
      </c>
      <c r="D61" s="2" t="s">
        <v>60</v>
      </c>
      <c r="E61" s="2">
        <v>118910.48</v>
      </c>
      <c r="F61" s="2">
        <v>4022</v>
      </c>
      <c r="G61" s="2">
        <v>0.13700000000000001</v>
      </c>
      <c r="H61" s="2">
        <v>11</v>
      </c>
      <c r="I61" s="2">
        <v>87.1</v>
      </c>
      <c r="J61" s="2">
        <v>0.2</v>
      </c>
      <c r="K61" s="2">
        <v>0</v>
      </c>
      <c r="L61" s="2">
        <v>3.1</v>
      </c>
      <c r="M61" s="2">
        <v>617291.15</v>
      </c>
      <c r="N61" s="2">
        <v>117782</v>
      </c>
    </row>
    <row r="62" spans="1:14" x14ac:dyDescent="0.45">
      <c r="A62" s="2" t="s">
        <v>75</v>
      </c>
      <c r="B62" s="3">
        <v>45748</v>
      </c>
      <c r="C62" s="2" t="s">
        <v>54</v>
      </c>
      <c r="D62" s="2" t="s">
        <v>60</v>
      </c>
      <c r="E62" s="2">
        <v>52952.12</v>
      </c>
      <c r="F62" s="2">
        <v>4377</v>
      </c>
      <c r="G62" s="2">
        <v>9.1999999999999998E-2</v>
      </c>
      <c r="H62" s="2">
        <v>14</v>
      </c>
      <c r="I62" s="2">
        <v>88.6</v>
      </c>
      <c r="J62" s="2">
        <v>13.59</v>
      </c>
      <c r="K62" s="2">
        <v>0</v>
      </c>
      <c r="L62" s="2">
        <v>3.1</v>
      </c>
      <c r="M62" s="2">
        <v>553756.43000000005</v>
      </c>
      <c r="N62" s="2">
        <v>86166.77</v>
      </c>
    </row>
    <row r="63" spans="1:14" x14ac:dyDescent="0.45">
      <c r="A63" s="2" t="s">
        <v>76</v>
      </c>
      <c r="B63" s="3">
        <v>45658</v>
      </c>
      <c r="C63" s="2" t="s">
        <v>63</v>
      </c>
      <c r="D63" s="2" t="s">
        <v>57</v>
      </c>
      <c r="E63" s="2">
        <v>74907.98</v>
      </c>
      <c r="F63" s="2">
        <v>5306</v>
      </c>
      <c r="G63" s="2">
        <v>6.2E-2</v>
      </c>
      <c r="H63" s="2">
        <v>16</v>
      </c>
      <c r="I63" s="2">
        <v>95.6</v>
      </c>
      <c r="J63" s="2">
        <v>1.02</v>
      </c>
      <c r="K63" s="2">
        <v>0</v>
      </c>
      <c r="L63" s="2">
        <v>3.7</v>
      </c>
      <c r="M63" s="2">
        <v>749559.71</v>
      </c>
      <c r="N63" s="2">
        <v>144522.53</v>
      </c>
    </row>
    <row r="64" spans="1:14" x14ac:dyDescent="0.45">
      <c r="A64" s="2" t="s">
        <v>76</v>
      </c>
      <c r="B64" s="3">
        <v>45689</v>
      </c>
      <c r="C64" s="2" t="s">
        <v>63</v>
      </c>
      <c r="D64" s="2" t="s">
        <v>57</v>
      </c>
      <c r="E64" s="2">
        <v>37284.660000000003</v>
      </c>
      <c r="F64" s="2">
        <v>3928</v>
      </c>
      <c r="G64" s="2">
        <v>7.3999999999999996E-2</v>
      </c>
      <c r="H64" s="2">
        <v>12</v>
      </c>
      <c r="I64" s="2">
        <v>86.5</v>
      </c>
      <c r="J64" s="2">
        <v>1.64</v>
      </c>
      <c r="K64" s="2">
        <v>0</v>
      </c>
      <c r="L64" s="2">
        <v>3.8</v>
      </c>
      <c r="M64" s="2">
        <v>615966.48</v>
      </c>
      <c r="N64" s="2">
        <v>91509.38</v>
      </c>
    </row>
    <row r="65" spans="1:14" x14ac:dyDescent="0.45">
      <c r="A65" s="2" t="s">
        <v>76</v>
      </c>
      <c r="B65" s="3">
        <v>45717</v>
      </c>
      <c r="C65" s="2" t="s">
        <v>63</v>
      </c>
      <c r="D65" s="2" t="s">
        <v>57</v>
      </c>
      <c r="E65" s="2">
        <v>50343.19</v>
      </c>
      <c r="F65" s="2">
        <v>3845</v>
      </c>
      <c r="G65" s="2">
        <v>0.113</v>
      </c>
      <c r="H65" s="2">
        <v>9</v>
      </c>
      <c r="I65" s="2">
        <v>88.7</v>
      </c>
      <c r="J65" s="2">
        <v>5.15</v>
      </c>
      <c r="K65" s="2">
        <v>0</v>
      </c>
      <c r="L65" s="2">
        <v>3.3</v>
      </c>
      <c r="M65" s="2">
        <v>572011.19999999995</v>
      </c>
      <c r="N65" s="2">
        <v>101409.68</v>
      </c>
    </row>
    <row r="66" spans="1:14" x14ac:dyDescent="0.45">
      <c r="A66" s="2" t="s">
        <v>76</v>
      </c>
      <c r="B66" s="3">
        <v>45748</v>
      </c>
      <c r="C66" s="2" t="s">
        <v>63</v>
      </c>
      <c r="D66" s="2" t="s">
        <v>57</v>
      </c>
      <c r="E66" s="2">
        <v>74954.47</v>
      </c>
      <c r="F66" s="2">
        <v>6620</v>
      </c>
      <c r="G66" s="2">
        <v>5.3999999999999999E-2</v>
      </c>
      <c r="H66" s="2">
        <v>17</v>
      </c>
      <c r="I66" s="2">
        <v>91.1</v>
      </c>
      <c r="J66" s="2">
        <v>1.1100000000000001</v>
      </c>
      <c r="K66" s="2">
        <v>0</v>
      </c>
      <c r="L66" s="2">
        <v>3.5</v>
      </c>
      <c r="M66" s="2">
        <v>761860.19</v>
      </c>
      <c r="N66" s="2">
        <v>133279.38</v>
      </c>
    </row>
    <row r="67" spans="1:14" x14ac:dyDescent="0.45">
      <c r="A67" s="2" t="s">
        <v>77</v>
      </c>
      <c r="B67" s="3">
        <v>45658</v>
      </c>
      <c r="C67" s="2" t="s">
        <v>66</v>
      </c>
      <c r="D67" s="2" t="s">
        <v>57</v>
      </c>
      <c r="E67" s="2">
        <v>70040.31</v>
      </c>
      <c r="F67" s="2">
        <v>9175</v>
      </c>
      <c r="G67" s="2">
        <v>0.107</v>
      </c>
      <c r="H67" s="2">
        <v>23</v>
      </c>
      <c r="I67" s="2">
        <v>95.1</v>
      </c>
      <c r="J67" s="2">
        <v>6.08</v>
      </c>
      <c r="K67" s="2">
        <v>1</v>
      </c>
      <c r="L67" s="2">
        <v>3.4</v>
      </c>
      <c r="M67" s="2">
        <v>784502.68</v>
      </c>
      <c r="N67" s="2">
        <v>129519.72</v>
      </c>
    </row>
    <row r="68" spans="1:14" x14ac:dyDescent="0.45">
      <c r="A68" s="2" t="s">
        <v>77</v>
      </c>
      <c r="B68" s="3">
        <v>45689</v>
      </c>
      <c r="C68" s="2" t="s">
        <v>66</v>
      </c>
      <c r="D68" s="2" t="s">
        <v>57</v>
      </c>
      <c r="E68" s="2">
        <v>51148.69</v>
      </c>
      <c r="F68" s="2">
        <v>7940</v>
      </c>
      <c r="G68" s="2">
        <v>0.156</v>
      </c>
      <c r="H68" s="2">
        <v>18</v>
      </c>
      <c r="I68" s="2">
        <v>93.3</v>
      </c>
      <c r="J68" s="2">
        <v>10.91</v>
      </c>
      <c r="K68" s="2">
        <v>0</v>
      </c>
      <c r="L68" s="2">
        <v>3.6</v>
      </c>
      <c r="M68" s="2">
        <v>717141.55</v>
      </c>
      <c r="N68" s="2">
        <v>134013.60999999999</v>
      </c>
    </row>
    <row r="69" spans="1:14" x14ac:dyDescent="0.45">
      <c r="A69" s="2" t="s">
        <v>77</v>
      </c>
      <c r="B69" s="3">
        <v>45717</v>
      </c>
      <c r="C69" s="2" t="s">
        <v>66</v>
      </c>
      <c r="D69" s="2" t="s">
        <v>57</v>
      </c>
      <c r="E69" s="2">
        <v>79346.100000000006</v>
      </c>
      <c r="F69" s="2">
        <v>9628</v>
      </c>
      <c r="G69" s="2">
        <v>0.10199999999999999</v>
      </c>
      <c r="H69" s="2">
        <v>20</v>
      </c>
      <c r="I69" s="2">
        <v>99</v>
      </c>
      <c r="J69" s="2">
        <v>19.010000000000002</v>
      </c>
      <c r="K69" s="2">
        <v>1</v>
      </c>
      <c r="L69" s="2">
        <v>3.2</v>
      </c>
      <c r="M69" s="2">
        <v>685379.08</v>
      </c>
      <c r="N69" s="2">
        <v>106898.82</v>
      </c>
    </row>
    <row r="70" spans="1:14" x14ac:dyDescent="0.45">
      <c r="A70" s="2" t="s">
        <v>77</v>
      </c>
      <c r="B70" s="3">
        <v>45748</v>
      </c>
      <c r="C70" s="2" t="s">
        <v>66</v>
      </c>
      <c r="D70" s="2" t="s">
        <v>57</v>
      </c>
      <c r="E70" s="2">
        <v>42018.400000000001</v>
      </c>
      <c r="F70" s="2">
        <v>8296</v>
      </c>
      <c r="G70" s="2">
        <v>0.115</v>
      </c>
      <c r="H70" s="2">
        <v>17</v>
      </c>
      <c r="I70" s="2">
        <v>91.8</v>
      </c>
      <c r="J70" s="2">
        <v>0.77</v>
      </c>
      <c r="K70" s="2">
        <v>0</v>
      </c>
      <c r="L70" s="2">
        <v>3.4</v>
      </c>
      <c r="M70" s="2">
        <v>740496.65</v>
      </c>
      <c r="N70" s="2">
        <v>128020.9</v>
      </c>
    </row>
    <row r="71" spans="1:14" x14ac:dyDescent="0.45">
      <c r="A71" s="2" t="s">
        <v>78</v>
      </c>
      <c r="B71" s="3">
        <v>45658</v>
      </c>
      <c r="C71" s="2" t="s">
        <v>54</v>
      </c>
      <c r="D71" s="2" t="s">
        <v>57</v>
      </c>
      <c r="E71" s="2">
        <v>70937.240000000005</v>
      </c>
      <c r="F71" s="2">
        <v>3595</v>
      </c>
      <c r="G71" s="2">
        <v>0.14099999999999999</v>
      </c>
      <c r="H71" s="2">
        <v>11</v>
      </c>
      <c r="I71" s="2">
        <v>88.9</v>
      </c>
      <c r="J71" s="2">
        <v>2.83</v>
      </c>
      <c r="K71" s="2">
        <v>1</v>
      </c>
      <c r="L71" s="2">
        <v>3.3</v>
      </c>
      <c r="M71" s="2">
        <v>661927.14</v>
      </c>
      <c r="N71" s="2">
        <v>79218.570000000007</v>
      </c>
    </row>
    <row r="72" spans="1:14" x14ac:dyDescent="0.45">
      <c r="A72" s="2" t="s">
        <v>78</v>
      </c>
      <c r="B72" s="3">
        <v>45689</v>
      </c>
      <c r="C72" s="2" t="s">
        <v>54</v>
      </c>
      <c r="D72" s="2" t="s">
        <v>57</v>
      </c>
      <c r="E72" s="2">
        <v>36813.449999999997</v>
      </c>
      <c r="F72" s="2">
        <v>2834</v>
      </c>
      <c r="G72" s="2">
        <v>0.191</v>
      </c>
      <c r="H72" s="2">
        <v>11</v>
      </c>
      <c r="I72" s="2">
        <v>81.8</v>
      </c>
      <c r="J72" s="2">
        <v>2.33</v>
      </c>
      <c r="K72" s="2">
        <v>0</v>
      </c>
      <c r="L72" s="2">
        <v>3.3</v>
      </c>
      <c r="M72" s="2">
        <v>479050.5</v>
      </c>
      <c r="N72" s="2">
        <v>53651.11</v>
      </c>
    </row>
    <row r="73" spans="1:14" x14ac:dyDescent="0.45">
      <c r="A73" s="2" t="s">
        <v>78</v>
      </c>
      <c r="B73" s="3">
        <v>45717</v>
      </c>
      <c r="C73" s="2" t="s">
        <v>54</v>
      </c>
      <c r="D73" s="2" t="s">
        <v>57</v>
      </c>
      <c r="E73" s="2">
        <v>60571.82</v>
      </c>
      <c r="F73" s="2">
        <v>3193</v>
      </c>
      <c r="G73" s="2">
        <v>0.19700000000000001</v>
      </c>
      <c r="H73" s="2">
        <v>7</v>
      </c>
      <c r="I73" s="2">
        <v>99</v>
      </c>
      <c r="J73" s="2">
        <v>1.43</v>
      </c>
      <c r="K73" s="2">
        <v>0</v>
      </c>
      <c r="L73" s="2">
        <v>3.2</v>
      </c>
      <c r="M73" s="2">
        <v>605023.87</v>
      </c>
      <c r="N73" s="2">
        <v>98545.81</v>
      </c>
    </row>
    <row r="74" spans="1:14" x14ac:dyDescent="0.45">
      <c r="A74" s="2" t="s">
        <v>78</v>
      </c>
      <c r="B74" s="3">
        <v>45748</v>
      </c>
      <c r="C74" s="2" t="s">
        <v>54</v>
      </c>
      <c r="D74" s="2" t="s">
        <v>57</v>
      </c>
      <c r="E74" s="2">
        <v>55081.16</v>
      </c>
      <c r="F74" s="2">
        <v>5485</v>
      </c>
      <c r="G74" s="2">
        <v>3.5999999999999997E-2</v>
      </c>
      <c r="H74" s="2">
        <v>12</v>
      </c>
      <c r="I74" s="2">
        <v>88</v>
      </c>
      <c r="J74" s="2"/>
      <c r="K74" s="2">
        <v>0</v>
      </c>
      <c r="L74" s="2">
        <v>3.5</v>
      </c>
      <c r="M74" s="2">
        <v>674774.09</v>
      </c>
      <c r="N74" s="2">
        <v>141917.59</v>
      </c>
    </row>
    <row r="75" spans="1:14" x14ac:dyDescent="0.45">
      <c r="A75" s="2" t="s">
        <v>79</v>
      </c>
      <c r="B75" s="3">
        <v>45658</v>
      </c>
      <c r="C75" s="2" t="s">
        <v>54</v>
      </c>
      <c r="D75" s="2" t="s">
        <v>55</v>
      </c>
      <c r="E75" s="2">
        <v>46201.46</v>
      </c>
      <c r="F75" s="2">
        <v>5918</v>
      </c>
      <c r="G75" s="2">
        <v>0.27700000000000002</v>
      </c>
      <c r="H75" s="2">
        <v>13</v>
      </c>
      <c r="I75" s="2">
        <v>78.8</v>
      </c>
      <c r="J75" s="2">
        <v>4.91</v>
      </c>
      <c r="K75" s="2">
        <v>0</v>
      </c>
      <c r="L75" s="2">
        <v>4.5</v>
      </c>
      <c r="M75" s="2">
        <v>616069.41</v>
      </c>
      <c r="N75" s="2">
        <v>54453.99</v>
      </c>
    </row>
    <row r="76" spans="1:14" x14ac:dyDescent="0.45">
      <c r="A76" s="2" t="s">
        <v>79</v>
      </c>
      <c r="B76" s="3">
        <v>45689</v>
      </c>
      <c r="C76" s="2" t="s">
        <v>54</v>
      </c>
      <c r="D76" s="2" t="s">
        <v>55</v>
      </c>
      <c r="E76" s="2">
        <v>53762.92</v>
      </c>
      <c r="F76" s="2">
        <v>6821</v>
      </c>
      <c r="G76" s="2">
        <v>6.6000000000000003E-2</v>
      </c>
      <c r="H76" s="2">
        <v>19</v>
      </c>
      <c r="I76" s="2">
        <v>94.6</v>
      </c>
      <c r="J76" s="2">
        <v>7.03</v>
      </c>
      <c r="K76" s="2">
        <v>0</v>
      </c>
      <c r="L76" s="2">
        <v>4.4000000000000004</v>
      </c>
      <c r="M76" s="2">
        <v>630829.93999999994</v>
      </c>
      <c r="N76" s="2">
        <v>117090.02</v>
      </c>
    </row>
    <row r="77" spans="1:14" x14ac:dyDescent="0.45">
      <c r="A77" s="2" t="s">
        <v>79</v>
      </c>
      <c r="B77" s="3">
        <v>45717</v>
      </c>
      <c r="C77" s="2" t="s">
        <v>54</v>
      </c>
      <c r="D77" s="2" t="s">
        <v>55</v>
      </c>
      <c r="E77" s="2">
        <v>70144.78</v>
      </c>
      <c r="F77" s="2">
        <v>6806</v>
      </c>
      <c r="G77" s="2">
        <v>0.17799999999999999</v>
      </c>
      <c r="H77" s="2">
        <v>20</v>
      </c>
      <c r="I77" s="2">
        <v>93.1</v>
      </c>
      <c r="J77" s="2">
        <v>0.28000000000000003</v>
      </c>
      <c r="K77" s="2">
        <v>1</v>
      </c>
      <c r="L77" s="2">
        <v>4.3</v>
      </c>
      <c r="M77" s="2">
        <v>788087.68</v>
      </c>
      <c r="N77" s="2">
        <v>116803.42</v>
      </c>
    </row>
    <row r="78" spans="1:14" x14ac:dyDescent="0.45">
      <c r="A78" s="2" t="s">
        <v>79</v>
      </c>
      <c r="B78" s="3">
        <v>45748</v>
      </c>
      <c r="C78" s="2" t="s">
        <v>54</v>
      </c>
      <c r="D78" s="2" t="s">
        <v>55</v>
      </c>
      <c r="E78" s="2">
        <v>58749.63</v>
      </c>
      <c r="F78" s="2">
        <v>8252</v>
      </c>
      <c r="G78" s="2">
        <v>0.20300000000000001</v>
      </c>
      <c r="H78" s="2">
        <v>20</v>
      </c>
      <c r="I78" s="2">
        <v>85.2</v>
      </c>
      <c r="J78" s="2">
        <v>3.61</v>
      </c>
      <c r="K78" s="2">
        <v>0</v>
      </c>
      <c r="L78" s="2">
        <v>4.5</v>
      </c>
      <c r="M78" s="2">
        <v>680840.36</v>
      </c>
      <c r="N78" s="2">
        <v>68007.679999999993</v>
      </c>
    </row>
    <row r="79" spans="1:14" x14ac:dyDescent="0.45">
      <c r="A79" s="2" t="s">
        <v>80</v>
      </c>
      <c r="B79" s="3">
        <v>45658</v>
      </c>
      <c r="C79" s="2" t="s">
        <v>63</v>
      </c>
      <c r="D79" s="2" t="s">
        <v>57</v>
      </c>
      <c r="E79" s="2">
        <v>56973.18</v>
      </c>
      <c r="F79" s="2">
        <v>6662</v>
      </c>
      <c r="G79" s="2">
        <v>0.1</v>
      </c>
      <c r="H79" s="2">
        <v>15</v>
      </c>
      <c r="I79" s="2">
        <v>77.7</v>
      </c>
      <c r="J79" s="2">
        <v>7.52</v>
      </c>
      <c r="K79" s="2">
        <v>1</v>
      </c>
      <c r="L79" s="2">
        <v>3.2</v>
      </c>
      <c r="M79" s="2">
        <v>643657.47</v>
      </c>
      <c r="N79" s="2">
        <v>87022.45</v>
      </c>
    </row>
    <row r="80" spans="1:14" x14ac:dyDescent="0.45">
      <c r="A80" s="2" t="s">
        <v>80</v>
      </c>
      <c r="B80" s="3">
        <v>45689</v>
      </c>
      <c r="C80" s="2" t="s">
        <v>63</v>
      </c>
      <c r="D80" s="2" t="s">
        <v>57</v>
      </c>
      <c r="E80" s="2">
        <v>54872.82</v>
      </c>
      <c r="F80" s="2">
        <v>5962</v>
      </c>
      <c r="G80" s="2">
        <v>6.4000000000000001E-2</v>
      </c>
      <c r="H80" s="2">
        <v>12</v>
      </c>
      <c r="I80" s="2">
        <v>85.4</v>
      </c>
      <c r="J80" s="2">
        <v>2.58</v>
      </c>
      <c r="K80" s="2">
        <v>0</v>
      </c>
      <c r="L80" s="2">
        <v>2.9</v>
      </c>
      <c r="M80" s="2">
        <v>691112.6</v>
      </c>
      <c r="N80" s="2">
        <v>109212.83</v>
      </c>
    </row>
    <row r="81" spans="1:14" x14ac:dyDescent="0.45">
      <c r="A81" s="2" t="s">
        <v>80</v>
      </c>
      <c r="B81" s="3">
        <v>45717</v>
      </c>
      <c r="C81" s="2" t="s">
        <v>63</v>
      </c>
      <c r="D81" s="2" t="s">
        <v>57</v>
      </c>
      <c r="E81" s="2">
        <v>80562.81</v>
      </c>
      <c r="F81" s="2">
        <v>7470</v>
      </c>
      <c r="G81" s="2">
        <v>0.17199999999999999</v>
      </c>
      <c r="H81" s="2">
        <v>16</v>
      </c>
      <c r="I81" s="2">
        <v>83.5</v>
      </c>
      <c r="J81" s="2">
        <v>2.29</v>
      </c>
      <c r="K81" s="2">
        <v>0</v>
      </c>
      <c r="L81" s="2">
        <v>3.3</v>
      </c>
      <c r="M81" s="2">
        <v>776922.17</v>
      </c>
      <c r="N81" s="2">
        <v>150701.93</v>
      </c>
    </row>
    <row r="82" spans="1:14" x14ac:dyDescent="0.45">
      <c r="A82" s="2" t="s">
        <v>80</v>
      </c>
      <c r="B82" s="3">
        <v>45748</v>
      </c>
      <c r="C82" s="2" t="s">
        <v>63</v>
      </c>
      <c r="D82" s="2" t="s">
        <v>57</v>
      </c>
      <c r="E82" s="2">
        <v>77999.899999999994</v>
      </c>
      <c r="F82" s="2">
        <v>5974</v>
      </c>
      <c r="G82" s="2">
        <v>0.252</v>
      </c>
      <c r="H82" s="2">
        <v>14</v>
      </c>
      <c r="I82" s="2">
        <v>81.3</v>
      </c>
      <c r="J82" s="2">
        <v>2.39</v>
      </c>
      <c r="K82" s="2">
        <v>0</v>
      </c>
      <c r="L82" s="2">
        <v>3.2</v>
      </c>
      <c r="M82" s="2">
        <v>636561.34</v>
      </c>
      <c r="N82" s="2">
        <v>93861.06</v>
      </c>
    </row>
    <row r="83" spans="1:14" x14ac:dyDescent="0.45">
      <c r="A83" s="2" t="s">
        <v>81</v>
      </c>
      <c r="B83" s="3">
        <v>45658</v>
      </c>
      <c r="C83" s="2" t="s">
        <v>66</v>
      </c>
      <c r="D83" s="2" t="s">
        <v>67</v>
      </c>
      <c r="E83" s="2">
        <v>60881.01</v>
      </c>
      <c r="F83" s="2">
        <v>5410</v>
      </c>
      <c r="G83" s="2">
        <v>0.17899999999999999</v>
      </c>
      <c r="H83" s="2">
        <v>15</v>
      </c>
      <c r="I83" s="2">
        <v>83.9</v>
      </c>
      <c r="J83" s="2">
        <v>5.24</v>
      </c>
      <c r="K83" s="2">
        <v>0</v>
      </c>
      <c r="L83" s="2">
        <v>4.5999999999999996</v>
      </c>
      <c r="M83" s="2">
        <v>621369.57999999996</v>
      </c>
      <c r="N83" s="2">
        <v>85493.64</v>
      </c>
    </row>
    <row r="84" spans="1:14" x14ac:dyDescent="0.45">
      <c r="A84" s="2" t="s">
        <v>81</v>
      </c>
      <c r="B84" s="3">
        <v>45689</v>
      </c>
      <c r="C84" s="2" t="s">
        <v>66</v>
      </c>
      <c r="D84" s="2" t="s">
        <v>67</v>
      </c>
      <c r="E84" s="2">
        <v>60628.38</v>
      </c>
      <c r="F84" s="2">
        <v>4451</v>
      </c>
      <c r="G84" s="2">
        <v>9.5000000000000001E-2</v>
      </c>
      <c r="H84" s="2">
        <v>10</v>
      </c>
      <c r="I84" s="2">
        <v>89.6</v>
      </c>
      <c r="J84" s="2">
        <v>3.17</v>
      </c>
      <c r="K84" s="2">
        <v>0</v>
      </c>
      <c r="L84" s="2">
        <v>4.5999999999999996</v>
      </c>
      <c r="M84" s="2">
        <v>682208.01</v>
      </c>
      <c r="N84" s="2">
        <v>110318.84</v>
      </c>
    </row>
    <row r="85" spans="1:14" x14ac:dyDescent="0.45">
      <c r="A85" s="2" t="s">
        <v>81</v>
      </c>
      <c r="B85" s="3">
        <v>45717</v>
      </c>
      <c r="C85" s="2" t="s">
        <v>66</v>
      </c>
      <c r="D85" s="2" t="s">
        <v>67</v>
      </c>
      <c r="E85" s="2">
        <v>72731.14</v>
      </c>
      <c r="F85" s="2">
        <v>4644</v>
      </c>
      <c r="G85" s="2">
        <v>8.4000000000000005E-2</v>
      </c>
      <c r="H85" s="2">
        <v>15</v>
      </c>
      <c r="I85" s="2">
        <v>87.1</v>
      </c>
      <c r="J85" s="2">
        <v>2.66</v>
      </c>
      <c r="K85" s="2">
        <v>0</v>
      </c>
      <c r="L85" s="2">
        <v>4.5999999999999996</v>
      </c>
      <c r="M85" s="2">
        <v>727241.86</v>
      </c>
      <c r="N85" s="2">
        <v>155810.29999999999</v>
      </c>
    </row>
    <row r="86" spans="1:14" x14ac:dyDescent="0.45">
      <c r="A86" s="2" t="s">
        <v>81</v>
      </c>
      <c r="B86" s="3">
        <v>45748</v>
      </c>
      <c r="C86" s="2" t="s">
        <v>66</v>
      </c>
      <c r="D86" s="2" t="s">
        <v>67</v>
      </c>
      <c r="E86" s="2">
        <v>36475.71</v>
      </c>
      <c r="F86" s="2">
        <v>3559</v>
      </c>
      <c r="G86" s="2">
        <v>0.03</v>
      </c>
      <c r="H86" s="2">
        <v>8</v>
      </c>
      <c r="I86" s="2">
        <v>83.6</v>
      </c>
      <c r="J86" s="2">
        <v>1.41</v>
      </c>
      <c r="K86" s="2">
        <v>0</v>
      </c>
      <c r="L86" s="2">
        <v>4.2</v>
      </c>
      <c r="M86" s="2">
        <v>569100.78</v>
      </c>
      <c r="N86" s="2">
        <v>104808.78</v>
      </c>
    </row>
    <row r="87" spans="1:14" x14ac:dyDescent="0.45">
      <c r="A87" s="2" t="s">
        <v>82</v>
      </c>
      <c r="B87" s="3">
        <v>45658</v>
      </c>
      <c r="C87" s="2" t="s">
        <v>66</v>
      </c>
      <c r="D87" s="2" t="s">
        <v>57</v>
      </c>
      <c r="E87" s="2">
        <v>55388.11</v>
      </c>
      <c r="F87" s="2">
        <v>3091</v>
      </c>
      <c r="G87" s="2">
        <v>0.108</v>
      </c>
      <c r="H87" s="2">
        <v>7</v>
      </c>
      <c r="I87" s="2">
        <v>85.4</v>
      </c>
      <c r="J87" s="2">
        <v>7.34</v>
      </c>
      <c r="K87" s="2">
        <v>0</v>
      </c>
      <c r="L87" s="2">
        <v>4.9000000000000004</v>
      </c>
      <c r="M87" s="2">
        <v>574436.29</v>
      </c>
      <c r="N87" s="2">
        <v>80271.990000000005</v>
      </c>
    </row>
    <row r="88" spans="1:14" x14ac:dyDescent="0.45">
      <c r="A88" s="2" t="s">
        <v>82</v>
      </c>
      <c r="B88" s="3">
        <v>45689</v>
      </c>
      <c r="C88" s="2" t="s">
        <v>66</v>
      </c>
      <c r="D88" s="2" t="s">
        <v>57</v>
      </c>
      <c r="E88" s="2">
        <v>88443.77</v>
      </c>
      <c r="F88" s="2">
        <v>4004</v>
      </c>
      <c r="G88" s="2">
        <v>0.20599999999999999</v>
      </c>
      <c r="H88" s="2">
        <v>11</v>
      </c>
      <c r="I88" s="2">
        <v>91.9</v>
      </c>
      <c r="J88" s="2">
        <v>5.95</v>
      </c>
      <c r="K88" s="2">
        <v>0</v>
      </c>
      <c r="L88" s="2"/>
      <c r="M88" s="2">
        <v>611766.72</v>
      </c>
      <c r="N88" s="2">
        <v>88275.61</v>
      </c>
    </row>
    <row r="89" spans="1:14" x14ac:dyDescent="0.45">
      <c r="A89" s="2" t="s">
        <v>82</v>
      </c>
      <c r="B89" s="3">
        <v>45717</v>
      </c>
      <c r="C89" s="2" t="s">
        <v>66</v>
      </c>
      <c r="D89" s="2" t="s">
        <v>57</v>
      </c>
      <c r="E89" s="2">
        <v>78231.91</v>
      </c>
      <c r="F89" s="2">
        <v>3788</v>
      </c>
      <c r="G89" s="2">
        <v>5.8999999999999997E-2</v>
      </c>
      <c r="H89" s="2">
        <v>11</v>
      </c>
      <c r="I89" s="2">
        <v>88.5</v>
      </c>
      <c r="J89" s="2">
        <v>15.51</v>
      </c>
      <c r="K89" s="2">
        <v>0</v>
      </c>
      <c r="L89" s="2">
        <v>4.3</v>
      </c>
      <c r="M89" s="2">
        <v>614596.31999999995</v>
      </c>
      <c r="N89" s="2">
        <v>131199.41</v>
      </c>
    </row>
    <row r="90" spans="1:14" x14ac:dyDescent="0.45">
      <c r="A90" s="2" t="s">
        <v>82</v>
      </c>
      <c r="B90" s="3">
        <v>45748</v>
      </c>
      <c r="C90" s="2" t="s">
        <v>66</v>
      </c>
      <c r="D90" s="2" t="s">
        <v>57</v>
      </c>
      <c r="E90" s="2">
        <v>18996.32</v>
      </c>
      <c r="F90" s="2">
        <v>1260</v>
      </c>
      <c r="G90" s="2">
        <v>0.14499999999999999</v>
      </c>
      <c r="H90" s="2">
        <v>9</v>
      </c>
      <c r="I90" s="2">
        <v>86.4</v>
      </c>
      <c r="J90" s="2">
        <v>4.3099999999999996</v>
      </c>
      <c r="K90" s="2">
        <v>0</v>
      </c>
      <c r="L90" s="2">
        <v>4.5999999999999996</v>
      </c>
      <c r="M90" s="2">
        <v>450711.92</v>
      </c>
      <c r="N90" s="2">
        <v>90043.76</v>
      </c>
    </row>
    <row r="91" spans="1:14" x14ac:dyDescent="0.45">
      <c r="A91" s="2" t="s">
        <v>83</v>
      </c>
      <c r="B91" s="3">
        <v>45658</v>
      </c>
      <c r="C91" s="2" t="s">
        <v>63</v>
      </c>
      <c r="D91" s="2" t="s">
        <v>67</v>
      </c>
      <c r="E91" s="2">
        <v>50517.94</v>
      </c>
      <c r="F91" s="2">
        <v>7024</v>
      </c>
      <c r="G91" s="2">
        <v>2.9000000000000001E-2</v>
      </c>
      <c r="H91" s="2">
        <v>18</v>
      </c>
      <c r="I91" s="2">
        <v>79.2</v>
      </c>
      <c r="J91" s="2">
        <v>6.61</v>
      </c>
      <c r="K91" s="2">
        <v>1</v>
      </c>
      <c r="L91" s="2">
        <v>4.0999999999999996</v>
      </c>
      <c r="M91" s="2">
        <v>711213.46</v>
      </c>
      <c r="N91" s="2">
        <v>105863.26</v>
      </c>
    </row>
    <row r="92" spans="1:14" x14ac:dyDescent="0.45">
      <c r="A92" s="2" t="s">
        <v>83</v>
      </c>
      <c r="B92" s="3">
        <v>45689</v>
      </c>
      <c r="C92" s="2" t="s">
        <v>63</v>
      </c>
      <c r="D92" s="2" t="s">
        <v>67</v>
      </c>
      <c r="E92" s="2">
        <v>141540.29</v>
      </c>
      <c r="F92" s="2">
        <v>5400</v>
      </c>
      <c r="G92" s="2">
        <v>1.2999999999999999E-2</v>
      </c>
      <c r="H92" s="2">
        <v>12</v>
      </c>
      <c r="I92" s="2">
        <v>87</v>
      </c>
      <c r="J92" s="2">
        <v>4.26</v>
      </c>
      <c r="K92" s="2">
        <v>0</v>
      </c>
      <c r="L92" s="2">
        <v>4.5</v>
      </c>
      <c r="M92" s="2">
        <v>627171.9</v>
      </c>
      <c r="N92" s="2">
        <v>105772.75</v>
      </c>
    </row>
    <row r="93" spans="1:14" x14ac:dyDescent="0.45">
      <c r="A93" s="2" t="s">
        <v>83</v>
      </c>
      <c r="B93" s="3">
        <v>45717</v>
      </c>
      <c r="C93" s="2" t="s">
        <v>63</v>
      </c>
      <c r="D93" s="2" t="s">
        <v>67</v>
      </c>
      <c r="E93" s="2">
        <v>82116.19</v>
      </c>
      <c r="F93" s="2">
        <v>5988</v>
      </c>
      <c r="G93" s="2">
        <v>0.04</v>
      </c>
      <c r="H93" s="2">
        <v>17</v>
      </c>
      <c r="I93" s="2">
        <v>91.8</v>
      </c>
      <c r="J93" s="2">
        <v>5.75</v>
      </c>
      <c r="K93" s="2">
        <v>0</v>
      </c>
      <c r="L93" s="2">
        <v>4.7</v>
      </c>
      <c r="M93" s="2">
        <v>739852.58</v>
      </c>
      <c r="N93" s="2">
        <v>129386.43</v>
      </c>
    </row>
    <row r="94" spans="1:14" x14ac:dyDescent="0.45">
      <c r="A94" s="2" t="s">
        <v>83</v>
      </c>
      <c r="B94" s="3">
        <v>45748</v>
      </c>
      <c r="C94" s="2" t="s">
        <v>63</v>
      </c>
      <c r="D94" s="2" t="s">
        <v>67</v>
      </c>
      <c r="E94" s="2">
        <v>31207.51</v>
      </c>
      <c r="F94" s="2">
        <v>3701</v>
      </c>
      <c r="G94" s="2">
        <v>4.2999999999999997E-2</v>
      </c>
      <c r="H94" s="2">
        <v>11</v>
      </c>
      <c r="I94" s="2">
        <v>84.7</v>
      </c>
      <c r="J94" s="2">
        <v>0.33</v>
      </c>
      <c r="K94" s="2">
        <v>0</v>
      </c>
      <c r="L94" s="2">
        <v>4.3</v>
      </c>
      <c r="M94" s="2">
        <v>586307.22</v>
      </c>
      <c r="N94" s="2">
        <v>73927.850000000006</v>
      </c>
    </row>
    <row r="95" spans="1:14" x14ac:dyDescent="0.45">
      <c r="A95" s="2" t="s">
        <v>84</v>
      </c>
      <c r="B95" s="3">
        <v>45658</v>
      </c>
      <c r="C95" s="2" t="s">
        <v>66</v>
      </c>
      <c r="D95" s="2" t="s">
        <v>55</v>
      </c>
      <c r="E95" s="2">
        <v>38966.589999999997</v>
      </c>
      <c r="F95" s="2">
        <v>4509</v>
      </c>
      <c r="G95" s="2">
        <v>0.19400000000000001</v>
      </c>
      <c r="H95" s="2">
        <v>14</v>
      </c>
      <c r="I95" s="2">
        <v>91.1</v>
      </c>
      <c r="J95" s="2">
        <v>2.92</v>
      </c>
      <c r="K95" s="2">
        <v>0</v>
      </c>
      <c r="L95" s="2">
        <v>4.5999999999999996</v>
      </c>
      <c r="M95" s="2">
        <v>585937.48</v>
      </c>
      <c r="N95" s="2">
        <v>82624.2</v>
      </c>
    </row>
    <row r="96" spans="1:14" x14ac:dyDescent="0.45">
      <c r="A96" s="2" t="s">
        <v>84</v>
      </c>
      <c r="B96" s="3">
        <v>45689</v>
      </c>
      <c r="C96" s="2" t="s">
        <v>66</v>
      </c>
      <c r="D96" s="2" t="s">
        <v>55</v>
      </c>
      <c r="E96" s="2">
        <v>67439.3</v>
      </c>
      <c r="F96" s="2">
        <v>6477</v>
      </c>
      <c r="G96" s="2">
        <v>0</v>
      </c>
      <c r="H96" s="2">
        <v>16</v>
      </c>
      <c r="I96" s="2">
        <v>90.9</v>
      </c>
      <c r="J96" s="2">
        <v>1.64</v>
      </c>
      <c r="K96" s="2">
        <v>0</v>
      </c>
      <c r="L96" s="2">
        <v>4.5</v>
      </c>
      <c r="M96" s="2">
        <v>753473.55</v>
      </c>
      <c r="N96" s="2">
        <v>151527.22</v>
      </c>
    </row>
    <row r="97" spans="1:14" x14ac:dyDescent="0.45">
      <c r="A97" s="2" t="s">
        <v>84</v>
      </c>
      <c r="B97" s="3">
        <v>45717</v>
      </c>
      <c r="C97" s="2" t="s">
        <v>66</v>
      </c>
      <c r="D97" s="2" t="s">
        <v>55</v>
      </c>
      <c r="E97" s="2">
        <v>86421.88</v>
      </c>
      <c r="F97" s="2">
        <v>7970</v>
      </c>
      <c r="G97" s="2">
        <v>7.2999999999999995E-2</v>
      </c>
      <c r="H97" s="2">
        <v>17</v>
      </c>
      <c r="I97" s="2">
        <v>91.3</v>
      </c>
      <c r="J97" s="2">
        <v>0.8</v>
      </c>
      <c r="K97" s="2">
        <v>0</v>
      </c>
      <c r="L97" s="2">
        <v>5</v>
      </c>
      <c r="M97" s="2">
        <v>838250.32</v>
      </c>
      <c r="N97" s="2">
        <v>122939.34</v>
      </c>
    </row>
    <row r="98" spans="1:14" x14ac:dyDescent="0.45">
      <c r="A98" s="2" t="s">
        <v>84</v>
      </c>
      <c r="B98" s="3">
        <v>45748</v>
      </c>
      <c r="C98" s="2" t="s">
        <v>66</v>
      </c>
      <c r="D98" s="2" t="s">
        <v>55</v>
      </c>
      <c r="E98" s="2">
        <v>9534.65</v>
      </c>
      <c r="F98" s="2">
        <v>6057</v>
      </c>
      <c r="G98" s="2">
        <v>7.3999999999999996E-2</v>
      </c>
      <c r="H98" s="2">
        <v>15</v>
      </c>
      <c r="I98" s="2">
        <v>94.1</v>
      </c>
      <c r="J98" s="2">
        <v>5.79</v>
      </c>
      <c r="K98" s="2">
        <v>0</v>
      </c>
      <c r="L98" s="2">
        <v>4.5</v>
      </c>
      <c r="M98" s="2">
        <v>607898.12</v>
      </c>
      <c r="N98" s="2">
        <v>135404.85</v>
      </c>
    </row>
    <row r="99" spans="1:14" x14ac:dyDescent="0.45">
      <c r="A99" s="2" t="s">
        <v>85</v>
      </c>
      <c r="B99" s="3">
        <v>45658</v>
      </c>
      <c r="C99" s="2" t="s">
        <v>66</v>
      </c>
      <c r="D99" s="2" t="s">
        <v>67</v>
      </c>
      <c r="E99" s="2">
        <v>61132.07</v>
      </c>
      <c r="F99" s="2">
        <v>6394</v>
      </c>
      <c r="G99" s="2">
        <v>0.16300000000000001</v>
      </c>
      <c r="H99" s="2">
        <v>19</v>
      </c>
      <c r="I99" s="2">
        <v>91</v>
      </c>
      <c r="J99" s="2">
        <v>19.600000000000001</v>
      </c>
      <c r="K99" s="2">
        <v>0</v>
      </c>
      <c r="L99" s="2">
        <v>4.4000000000000004</v>
      </c>
      <c r="M99" s="2">
        <v>691113.62</v>
      </c>
      <c r="N99" s="2">
        <v>135145.44</v>
      </c>
    </row>
    <row r="100" spans="1:14" x14ac:dyDescent="0.45">
      <c r="A100" s="2" t="s">
        <v>85</v>
      </c>
      <c r="B100" s="3">
        <v>45689</v>
      </c>
      <c r="C100" s="2" t="s">
        <v>66</v>
      </c>
      <c r="D100" s="2" t="s">
        <v>67</v>
      </c>
      <c r="E100" s="2">
        <v>78839.39</v>
      </c>
      <c r="F100" s="2">
        <v>5150</v>
      </c>
      <c r="G100" s="2">
        <v>0.17100000000000001</v>
      </c>
      <c r="H100" s="2">
        <v>13</v>
      </c>
      <c r="I100" s="2">
        <v>85.8</v>
      </c>
      <c r="J100" s="2">
        <v>7.57</v>
      </c>
      <c r="K100" s="2">
        <v>0</v>
      </c>
      <c r="L100" s="2">
        <v>4.3</v>
      </c>
      <c r="M100" s="2">
        <v>735509.4</v>
      </c>
      <c r="N100" s="2">
        <v>83895.96</v>
      </c>
    </row>
    <row r="101" spans="1:14" x14ac:dyDescent="0.45">
      <c r="A101" s="2" t="s">
        <v>85</v>
      </c>
      <c r="B101" s="3">
        <v>45717</v>
      </c>
      <c r="C101" s="2" t="s">
        <v>66</v>
      </c>
      <c r="D101" s="2" t="s">
        <v>67</v>
      </c>
      <c r="E101" s="2">
        <v>38752.800000000003</v>
      </c>
      <c r="F101" s="2">
        <v>4712</v>
      </c>
      <c r="G101" s="2">
        <v>7.4999999999999997E-2</v>
      </c>
      <c r="H101" s="2">
        <v>15</v>
      </c>
      <c r="I101" s="2">
        <v>89.7</v>
      </c>
      <c r="J101" s="2"/>
      <c r="K101" s="2">
        <v>0</v>
      </c>
      <c r="L101" s="2">
        <v>4.3</v>
      </c>
      <c r="M101" s="2">
        <v>605775.32999999996</v>
      </c>
      <c r="N101" s="2">
        <v>107194.6</v>
      </c>
    </row>
    <row r="102" spans="1:14" x14ac:dyDescent="0.45">
      <c r="A102" s="2" t="s">
        <v>85</v>
      </c>
      <c r="B102" s="3">
        <v>45748</v>
      </c>
      <c r="C102" s="2" t="s">
        <v>66</v>
      </c>
      <c r="D102" s="2" t="s">
        <v>67</v>
      </c>
      <c r="E102" s="2">
        <v>55101.1</v>
      </c>
      <c r="F102" s="2">
        <v>5281</v>
      </c>
      <c r="G102" s="2">
        <v>0.189</v>
      </c>
      <c r="H102" s="2">
        <v>11</v>
      </c>
      <c r="I102" s="2">
        <v>91</v>
      </c>
      <c r="J102" s="2">
        <v>2.7</v>
      </c>
      <c r="K102" s="2">
        <v>0</v>
      </c>
      <c r="L102" s="2">
        <v>4.4000000000000004</v>
      </c>
      <c r="M102" s="2">
        <v>675177.68</v>
      </c>
      <c r="N102" s="2">
        <v>105628.68</v>
      </c>
    </row>
    <row r="103" spans="1:14" x14ac:dyDescent="0.45">
      <c r="A103" s="2" t="s">
        <v>86</v>
      </c>
      <c r="B103" s="3">
        <v>45658</v>
      </c>
      <c r="C103" s="2" t="s">
        <v>54</v>
      </c>
      <c r="D103" s="2" t="s">
        <v>67</v>
      </c>
      <c r="E103" s="2">
        <v>53084.76</v>
      </c>
      <c r="F103" s="2">
        <v>3642</v>
      </c>
      <c r="G103" s="2">
        <v>0.15</v>
      </c>
      <c r="H103" s="2">
        <v>12</v>
      </c>
      <c r="I103" s="2">
        <v>91.4</v>
      </c>
      <c r="J103" s="2">
        <v>0.2</v>
      </c>
      <c r="K103" s="2">
        <v>0</v>
      </c>
      <c r="L103" s="2">
        <v>4.4000000000000004</v>
      </c>
      <c r="M103" s="2">
        <v>635181.35</v>
      </c>
      <c r="N103" s="2">
        <v>83341.25</v>
      </c>
    </row>
    <row r="104" spans="1:14" x14ac:dyDescent="0.45">
      <c r="A104" s="2" t="s">
        <v>86</v>
      </c>
      <c r="B104" s="3">
        <v>45689</v>
      </c>
      <c r="C104" s="2" t="s">
        <v>54</v>
      </c>
      <c r="D104" s="2" t="s">
        <v>67</v>
      </c>
      <c r="E104" s="2">
        <v>63101.59</v>
      </c>
      <c r="F104" s="2">
        <v>4373</v>
      </c>
      <c r="G104" s="2">
        <v>0.17299999999999999</v>
      </c>
      <c r="H104" s="2">
        <v>14</v>
      </c>
      <c r="I104" s="2">
        <v>90.4</v>
      </c>
      <c r="J104" s="2">
        <v>7.87</v>
      </c>
      <c r="K104" s="2">
        <v>0</v>
      </c>
      <c r="L104" s="2">
        <v>4.7</v>
      </c>
      <c r="M104" s="2">
        <v>586626.93999999994</v>
      </c>
      <c r="N104" s="2">
        <v>86498.55</v>
      </c>
    </row>
    <row r="105" spans="1:14" x14ac:dyDescent="0.45">
      <c r="A105" s="2" t="s">
        <v>86</v>
      </c>
      <c r="B105" s="3">
        <v>45717</v>
      </c>
      <c r="C105" s="2" t="s">
        <v>54</v>
      </c>
      <c r="D105" s="2" t="s">
        <v>67</v>
      </c>
      <c r="E105" s="2">
        <v>90084.4</v>
      </c>
      <c r="F105" s="2">
        <v>6832</v>
      </c>
      <c r="G105" s="2">
        <v>0.185</v>
      </c>
      <c r="H105" s="2">
        <v>14</v>
      </c>
      <c r="I105" s="2">
        <v>80.5</v>
      </c>
      <c r="J105" s="2">
        <v>0.77</v>
      </c>
      <c r="K105" s="2">
        <v>1</v>
      </c>
      <c r="L105" s="2">
        <v>4.4000000000000004</v>
      </c>
      <c r="M105" s="2">
        <v>740102.64</v>
      </c>
      <c r="N105" s="2">
        <v>114299.07</v>
      </c>
    </row>
    <row r="106" spans="1:14" x14ac:dyDescent="0.45">
      <c r="A106" s="2" t="s">
        <v>86</v>
      </c>
      <c r="B106" s="3">
        <v>45748</v>
      </c>
      <c r="C106" s="2" t="s">
        <v>54</v>
      </c>
      <c r="D106" s="2" t="s">
        <v>67</v>
      </c>
      <c r="E106" s="2">
        <v>32266.639999999999</v>
      </c>
      <c r="F106" s="2">
        <v>2414</v>
      </c>
      <c r="G106" s="2">
        <v>0.08</v>
      </c>
      <c r="H106" s="2">
        <v>7</v>
      </c>
      <c r="I106" s="2">
        <v>92.1</v>
      </c>
      <c r="J106" s="2">
        <v>1.48</v>
      </c>
      <c r="K106" s="2">
        <v>0</v>
      </c>
      <c r="L106" s="2">
        <v>5</v>
      </c>
      <c r="M106" s="2">
        <v>625514.04</v>
      </c>
      <c r="N106" s="2">
        <v>120685.08</v>
      </c>
    </row>
    <row r="107" spans="1:14" x14ac:dyDescent="0.45">
      <c r="A107" s="2" t="s">
        <v>87</v>
      </c>
      <c r="B107" s="3">
        <v>45658</v>
      </c>
      <c r="C107" s="2" t="s">
        <v>66</v>
      </c>
      <c r="D107" s="2" t="s">
        <v>57</v>
      </c>
      <c r="E107" s="2">
        <v>57919.07</v>
      </c>
      <c r="F107" s="2">
        <v>7374</v>
      </c>
      <c r="G107" s="2">
        <v>0.10299999999999999</v>
      </c>
      <c r="H107" s="2">
        <v>21</v>
      </c>
      <c r="I107" s="2">
        <v>82.3</v>
      </c>
      <c r="J107" s="2">
        <v>2.87</v>
      </c>
      <c r="K107" s="2">
        <v>0</v>
      </c>
      <c r="L107" s="2">
        <v>2.9</v>
      </c>
      <c r="M107" s="2">
        <v>727227.2</v>
      </c>
      <c r="N107" s="2">
        <v>121292.01</v>
      </c>
    </row>
    <row r="108" spans="1:14" x14ac:dyDescent="0.45">
      <c r="A108" s="2" t="s">
        <v>87</v>
      </c>
      <c r="B108" s="3">
        <v>45689</v>
      </c>
      <c r="C108" s="2" t="s">
        <v>66</v>
      </c>
      <c r="D108" s="2" t="s">
        <v>57</v>
      </c>
      <c r="E108" s="2">
        <v>74679.350000000006</v>
      </c>
      <c r="F108" s="2">
        <v>8739</v>
      </c>
      <c r="G108" s="2">
        <v>5.6000000000000001E-2</v>
      </c>
      <c r="H108" s="2">
        <v>21</v>
      </c>
      <c r="I108" s="2">
        <v>91.8</v>
      </c>
      <c r="J108" s="2">
        <v>2.83</v>
      </c>
      <c r="K108" s="2">
        <v>0</v>
      </c>
      <c r="L108" s="2">
        <v>3</v>
      </c>
      <c r="M108" s="2">
        <v>783797.89</v>
      </c>
      <c r="N108" s="2">
        <v>157620.70000000001</v>
      </c>
    </row>
    <row r="109" spans="1:14" x14ac:dyDescent="0.45">
      <c r="A109" s="2" t="s">
        <v>87</v>
      </c>
      <c r="B109" s="3">
        <v>45717</v>
      </c>
      <c r="C109" s="2" t="s">
        <v>66</v>
      </c>
      <c r="D109" s="2" t="s">
        <v>57</v>
      </c>
      <c r="E109" s="2">
        <v>64294.23</v>
      </c>
      <c r="F109" s="2">
        <v>6992</v>
      </c>
      <c r="G109" s="2">
        <v>0.13300000000000001</v>
      </c>
      <c r="H109" s="2">
        <v>14</v>
      </c>
      <c r="I109" s="2">
        <v>94.1</v>
      </c>
      <c r="J109" s="2">
        <v>0.25</v>
      </c>
      <c r="K109" s="2">
        <v>0</v>
      </c>
      <c r="L109" s="2">
        <v>3</v>
      </c>
      <c r="M109" s="2">
        <v>795153.84</v>
      </c>
      <c r="N109" s="2">
        <v>143194.21</v>
      </c>
    </row>
    <row r="110" spans="1:14" x14ac:dyDescent="0.45">
      <c r="A110" s="2" t="s">
        <v>87</v>
      </c>
      <c r="B110" s="3">
        <v>45748</v>
      </c>
      <c r="C110" s="2" t="s">
        <v>66</v>
      </c>
      <c r="D110" s="2" t="s">
        <v>57</v>
      </c>
      <c r="E110" s="2">
        <v>31042.03</v>
      </c>
      <c r="F110" s="2">
        <v>7107</v>
      </c>
      <c r="G110" s="2">
        <v>5.0999999999999997E-2</v>
      </c>
      <c r="H110" s="2">
        <v>15</v>
      </c>
      <c r="I110" s="2">
        <v>87</v>
      </c>
      <c r="J110" s="2">
        <v>13.33</v>
      </c>
      <c r="K110" s="2">
        <v>0</v>
      </c>
      <c r="L110" s="2">
        <v>3.2</v>
      </c>
      <c r="M110" s="2">
        <v>665594.93999999994</v>
      </c>
      <c r="N110" s="2">
        <v>127597.34</v>
      </c>
    </row>
    <row r="111" spans="1:14" x14ac:dyDescent="0.45">
      <c r="A111" s="2" t="s">
        <v>88</v>
      </c>
      <c r="B111" s="3">
        <v>45658</v>
      </c>
      <c r="C111" s="2" t="s">
        <v>54</v>
      </c>
      <c r="D111" s="2" t="s">
        <v>67</v>
      </c>
      <c r="E111" s="2">
        <v>75265.02</v>
      </c>
      <c r="F111" s="2">
        <v>6975</v>
      </c>
      <c r="G111" s="2">
        <v>0.157</v>
      </c>
      <c r="H111" s="2">
        <v>20</v>
      </c>
      <c r="I111" s="2">
        <v>73.8</v>
      </c>
      <c r="J111" s="2">
        <v>6.35</v>
      </c>
      <c r="K111" s="2">
        <v>1</v>
      </c>
      <c r="L111" s="2">
        <v>3.8</v>
      </c>
      <c r="M111" s="2">
        <v>709478.39</v>
      </c>
      <c r="N111" s="2">
        <v>71294.27</v>
      </c>
    </row>
    <row r="112" spans="1:14" x14ac:dyDescent="0.45">
      <c r="A112" s="2" t="s">
        <v>88</v>
      </c>
      <c r="B112" s="3">
        <v>45689</v>
      </c>
      <c r="C112" s="2" t="s">
        <v>54</v>
      </c>
      <c r="D112" s="2" t="s">
        <v>67</v>
      </c>
      <c r="E112" s="2">
        <v>69411.7</v>
      </c>
      <c r="F112" s="2">
        <v>5493</v>
      </c>
      <c r="G112" s="2">
        <v>0.29199999999999998</v>
      </c>
      <c r="H112" s="2">
        <v>13</v>
      </c>
      <c r="I112" s="2">
        <v>86.5</v>
      </c>
      <c r="J112" s="2">
        <v>6.69</v>
      </c>
      <c r="K112" s="2">
        <v>0</v>
      </c>
      <c r="L112" s="2">
        <v>3.8</v>
      </c>
      <c r="M112" s="2">
        <v>664162.49</v>
      </c>
      <c r="N112" s="2">
        <v>98291.06</v>
      </c>
    </row>
    <row r="113" spans="1:14" x14ac:dyDescent="0.45">
      <c r="A113" s="2" t="s">
        <v>88</v>
      </c>
      <c r="B113" s="3">
        <v>45717</v>
      </c>
      <c r="C113" s="2" t="s">
        <v>54</v>
      </c>
      <c r="D113" s="2" t="s">
        <v>67</v>
      </c>
      <c r="E113" s="2">
        <v>51056.15</v>
      </c>
      <c r="F113" s="2">
        <v>5686</v>
      </c>
      <c r="G113" s="2">
        <v>8.8999999999999996E-2</v>
      </c>
      <c r="H113" s="2">
        <v>13</v>
      </c>
      <c r="I113" s="2">
        <v>89.9</v>
      </c>
      <c r="J113" s="2">
        <v>1.28</v>
      </c>
      <c r="K113" s="2">
        <v>0</v>
      </c>
      <c r="L113" s="2">
        <v>4.2</v>
      </c>
      <c r="M113" s="2">
        <v>633494.21</v>
      </c>
      <c r="N113" s="2">
        <v>105739.47</v>
      </c>
    </row>
    <row r="114" spans="1:14" x14ac:dyDescent="0.45">
      <c r="A114" s="2" t="s">
        <v>88</v>
      </c>
      <c r="B114" s="3">
        <v>45748</v>
      </c>
      <c r="C114" s="2" t="s">
        <v>54</v>
      </c>
      <c r="D114" s="2" t="s">
        <v>67</v>
      </c>
      <c r="E114" s="2">
        <v>52758.01</v>
      </c>
      <c r="F114" s="2">
        <v>4063</v>
      </c>
      <c r="G114" s="2">
        <v>5.7000000000000002E-2</v>
      </c>
      <c r="H114" s="2">
        <v>12</v>
      </c>
      <c r="I114" s="2">
        <v>91.7</v>
      </c>
      <c r="J114" s="2">
        <v>0.92</v>
      </c>
      <c r="K114" s="2">
        <v>0</v>
      </c>
      <c r="L114" s="2">
        <v>3.5</v>
      </c>
      <c r="M114" s="2">
        <v>713611.16</v>
      </c>
      <c r="N114" s="2">
        <v>129717.18</v>
      </c>
    </row>
    <row r="115" spans="1:14" x14ac:dyDescent="0.45">
      <c r="A115" s="2" t="s">
        <v>89</v>
      </c>
      <c r="B115" s="3">
        <v>45658</v>
      </c>
      <c r="C115" s="2" t="s">
        <v>66</v>
      </c>
      <c r="D115" s="2" t="s">
        <v>67</v>
      </c>
      <c r="E115" s="2">
        <v>61426.04</v>
      </c>
      <c r="F115" s="2">
        <v>8966</v>
      </c>
      <c r="G115" s="2">
        <v>0.17299999999999999</v>
      </c>
      <c r="H115" s="2">
        <v>22</v>
      </c>
      <c r="I115" s="2">
        <v>76.400000000000006</v>
      </c>
      <c r="J115" s="2">
        <v>1.05</v>
      </c>
      <c r="K115" s="2">
        <v>0</v>
      </c>
      <c r="L115" s="2">
        <v>3.1</v>
      </c>
      <c r="M115" s="2">
        <v>778397.97</v>
      </c>
      <c r="N115" s="2">
        <v>120044.41</v>
      </c>
    </row>
    <row r="116" spans="1:14" x14ac:dyDescent="0.45">
      <c r="A116" s="2" t="s">
        <v>89</v>
      </c>
      <c r="B116" s="3">
        <v>45689</v>
      </c>
      <c r="C116" s="2" t="s">
        <v>66</v>
      </c>
      <c r="D116" s="2" t="s">
        <v>67</v>
      </c>
      <c r="E116" s="2">
        <v>80176.34</v>
      </c>
      <c r="F116" s="2">
        <v>9489</v>
      </c>
      <c r="G116" s="2">
        <v>0.14199999999999999</v>
      </c>
      <c r="H116" s="2">
        <v>22</v>
      </c>
      <c r="I116" s="2">
        <v>94.3</v>
      </c>
      <c r="J116" s="2">
        <v>2.67</v>
      </c>
      <c r="K116" s="2">
        <v>0</v>
      </c>
      <c r="L116" s="2">
        <v>3.5</v>
      </c>
      <c r="M116" s="2">
        <v>873380.02</v>
      </c>
      <c r="N116" s="2">
        <v>149734.76</v>
      </c>
    </row>
    <row r="117" spans="1:14" x14ac:dyDescent="0.45">
      <c r="A117" s="2" t="s">
        <v>89</v>
      </c>
      <c r="B117" s="3">
        <v>45717</v>
      </c>
      <c r="C117" s="2" t="s">
        <v>66</v>
      </c>
      <c r="D117" s="2" t="s">
        <v>67</v>
      </c>
      <c r="E117" s="2">
        <v>33605.18</v>
      </c>
      <c r="F117" s="2">
        <v>9225</v>
      </c>
      <c r="G117" s="2">
        <v>0.159</v>
      </c>
      <c r="H117" s="2">
        <v>23</v>
      </c>
      <c r="I117" s="2">
        <v>88.4</v>
      </c>
      <c r="J117" s="2">
        <v>5.91</v>
      </c>
      <c r="K117" s="2">
        <v>0</v>
      </c>
      <c r="L117" s="2">
        <v>2.8</v>
      </c>
      <c r="M117" s="2">
        <v>697287.9</v>
      </c>
      <c r="N117" s="2">
        <v>128208.33</v>
      </c>
    </row>
    <row r="118" spans="1:14" x14ac:dyDescent="0.45">
      <c r="A118" s="2" t="s">
        <v>89</v>
      </c>
      <c r="B118" s="3">
        <v>45748</v>
      </c>
      <c r="C118" s="2" t="s">
        <v>66</v>
      </c>
      <c r="D118" s="2" t="s">
        <v>67</v>
      </c>
      <c r="E118" s="2">
        <v>25990.54</v>
      </c>
      <c r="F118" s="2">
        <v>9249</v>
      </c>
      <c r="G118" s="2">
        <v>0.13900000000000001</v>
      </c>
      <c r="H118" s="2">
        <v>23</v>
      </c>
      <c r="I118" s="2">
        <v>92.5</v>
      </c>
      <c r="J118" s="2">
        <v>6.37</v>
      </c>
      <c r="K118" s="2">
        <v>0</v>
      </c>
      <c r="L118" s="2">
        <v>3.3</v>
      </c>
      <c r="M118" s="2">
        <v>718074.79</v>
      </c>
      <c r="N118" s="2">
        <v>115819.87</v>
      </c>
    </row>
    <row r="119" spans="1:14" x14ac:dyDescent="0.45">
      <c r="A119" s="2" t="s">
        <v>90</v>
      </c>
      <c r="B119" s="3">
        <v>45658</v>
      </c>
      <c r="C119" s="2" t="s">
        <v>66</v>
      </c>
      <c r="D119" s="2" t="s">
        <v>55</v>
      </c>
      <c r="E119" s="2">
        <v>43685.14</v>
      </c>
      <c r="F119" s="2">
        <v>7821</v>
      </c>
      <c r="G119" s="2">
        <v>0.19</v>
      </c>
      <c r="H119" s="2">
        <v>17</v>
      </c>
      <c r="I119" s="2">
        <v>91</v>
      </c>
      <c r="J119" s="2">
        <v>2.4900000000000002</v>
      </c>
      <c r="K119" s="2">
        <v>1</v>
      </c>
      <c r="L119" s="2">
        <v>4.7</v>
      </c>
      <c r="M119" s="2">
        <v>714942.43</v>
      </c>
      <c r="N119" s="2">
        <v>94697.71</v>
      </c>
    </row>
    <row r="120" spans="1:14" x14ac:dyDescent="0.45">
      <c r="A120" s="2" t="s">
        <v>90</v>
      </c>
      <c r="B120" s="3">
        <v>45689</v>
      </c>
      <c r="C120" s="2" t="s">
        <v>66</v>
      </c>
      <c r="D120" s="2" t="s">
        <v>55</v>
      </c>
      <c r="E120" s="2">
        <v>57360.01</v>
      </c>
      <c r="F120" s="2">
        <v>8434</v>
      </c>
      <c r="G120" s="2">
        <v>0.151</v>
      </c>
      <c r="H120" s="2">
        <v>19</v>
      </c>
      <c r="I120" s="2">
        <v>84.1</v>
      </c>
      <c r="J120" s="2">
        <v>1.56</v>
      </c>
      <c r="K120" s="2">
        <v>0</v>
      </c>
      <c r="L120" s="2">
        <v>4.7</v>
      </c>
      <c r="M120" s="2">
        <v>820519.04</v>
      </c>
      <c r="N120" s="2">
        <v>99035.88</v>
      </c>
    </row>
    <row r="121" spans="1:14" x14ac:dyDescent="0.45">
      <c r="A121" s="2" t="s">
        <v>90</v>
      </c>
      <c r="B121" s="3">
        <v>45717</v>
      </c>
      <c r="C121" s="2" t="s">
        <v>66</v>
      </c>
      <c r="D121" s="2" t="s">
        <v>55</v>
      </c>
      <c r="E121" s="2">
        <v>42415.47</v>
      </c>
      <c r="F121" s="2">
        <v>8512</v>
      </c>
      <c r="G121" s="2">
        <v>0.13300000000000001</v>
      </c>
      <c r="H121" s="2">
        <v>18</v>
      </c>
      <c r="I121" s="2">
        <v>96.8</v>
      </c>
      <c r="J121" s="2">
        <v>14.95</v>
      </c>
      <c r="K121" s="2">
        <v>0</v>
      </c>
      <c r="L121" s="2">
        <v>4.5999999999999996</v>
      </c>
      <c r="M121" s="2">
        <v>684217.32</v>
      </c>
      <c r="N121" s="2">
        <v>136217.19</v>
      </c>
    </row>
    <row r="122" spans="1:14" x14ac:dyDescent="0.45">
      <c r="A122" s="2" t="s">
        <v>90</v>
      </c>
      <c r="B122" s="3">
        <v>45748</v>
      </c>
      <c r="C122" s="2" t="s">
        <v>66</v>
      </c>
      <c r="D122" s="2" t="s">
        <v>55</v>
      </c>
      <c r="E122" s="2">
        <v>54968.98</v>
      </c>
      <c r="F122" s="2">
        <v>7816</v>
      </c>
      <c r="G122" s="2">
        <v>0.23200000000000001</v>
      </c>
      <c r="H122" s="2">
        <v>19</v>
      </c>
      <c r="I122" s="2">
        <v>95.7</v>
      </c>
      <c r="J122" s="2">
        <v>7.85</v>
      </c>
      <c r="K122" s="2">
        <v>0</v>
      </c>
      <c r="L122" s="2">
        <v>4.7</v>
      </c>
      <c r="M122" s="2">
        <v>735480.19</v>
      </c>
      <c r="N122" s="2">
        <v>88342.11</v>
      </c>
    </row>
    <row r="123" spans="1:14" x14ac:dyDescent="0.45">
      <c r="A123" s="2" t="s">
        <v>91</v>
      </c>
      <c r="B123" s="3">
        <v>45658</v>
      </c>
      <c r="C123" s="2" t="s">
        <v>59</v>
      </c>
      <c r="D123" s="2" t="s">
        <v>57</v>
      </c>
      <c r="E123" s="2">
        <v>43896.13</v>
      </c>
      <c r="F123" s="2">
        <v>3853</v>
      </c>
      <c r="G123" s="2">
        <v>8.7999999999999995E-2</v>
      </c>
      <c r="H123" s="2">
        <v>13</v>
      </c>
      <c r="I123" s="2">
        <v>83</v>
      </c>
      <c r="J123" s="2">
        <v>6.8</v>
      </c>
      <c r="K123" s="2">
        <v>0</v>
      </c>
      <c r="L123" s="2">
        <v>4.4000000000000004</v>
      </c>
      <c r="M123" s="2">
        <v>509484.81</v>
      </c>
      <c r="N123" s="2">
        <v>85742.36</v>
      </c>
    </row>
    <row r="124" spans="1:14" x14ac:dyDescent="0.45">
      <c r="A124" s="2" t="s">
        <v>91</v>
      </c>
      <c r="B124" s="3">
        <v>45689</v>
      </c>
      <c r="C124" s="2" t="s">
        <v>59</v>
      </c>
      <c r="D124" s="2" t="s">
        <v>57</v>
      </c>
      <c r="E124" s="2">
        <v>83044.17</v>
      </c>
      <c r="F124" s="2">
        <v>3694</v>
      </c>
      <c r="G124" s="2">
        <v>0</v>
      </c>
      <c r="H124" s="2">
        <v>14</v>
      </c>
      <c r="I124" s="2">
        <v>89.4</v>
      </c>
      <c r="J124" s="2">
        <v>2.2000000000000002</v>
      </c>
      <c r="K124" s="2">
        <v>0</v>
      </c>
      <c r="L124" s="2">
        <v>3.7</v>
      </c>
      <c r="M124" s="2">
        <v>654317.09</v>
      </c>
      <c r="N124" s="2">
        <v>121446.89</v>
      </c>
    </row>
    <row r="125" spans="1:14" x14ac:dyDescent="0.45">
      <c r="A125" s="2" t="s">
        <v>91</v>
      </c>
      <c r="B125" s="3">
        <v>45717</v>
      </c>
      <c r="C125" s="2" t="s">
        <v>59</v>
      </c>
      <c r="D125" s="2" t="s">
        <v>57</v>
      </c>
      <c r="E125" s="2">
        <v>48396.13</v>
      </c>
      <c r="F125" s="2">
        <v>4423</v>
      </c>
      <c r="G125" s="2">
        <v>6.9000000000000006E-2</v>
      </c>
      <c r="H125" s="2">
        <v>15</v>
      </c>
      <c r="I125" s="2">
        <v>85.7</v>
      </c>
      <c r="J125" s="2">
        <v>1.88</v>
      </c>
      <c r="K125" s="2">
        <v>0</v>
      </c>
      <c r="L125" s="2">
        <v>3.9</v>
      </c>
      <c r="M125" s="2">
        <v>557487.26</v>
      </c>
      <c r="N125" s="2">
        <v>76432.19</v>
      </c>
    </row>
    <row r="126" spans="1:14" x14ac:dyDescent="0.45">
      <c r="A126" s="2" t="s">
        <v>91</v>
      </c>
      <c r="B126" s="3">
        <v>45748</v>
      </c>
      <c r="C126" s="2" t="s">
        <v>59</v>
      </c>
      <c r="D126" s="2" t="s">
        <v>57</v>
      </c>
      <c r="E126" s="2">
        <v>19063.48</v>
      </c>
      <c r="F126" s="2">
        <v>1906</v>
      </c>
      <c r="G126" s="2">
        <v>0.216</v>
      </c>
      <c r="H126" s="2">
        <v>10</v>
      </c>
      <c r="I126" s="2">
        <v>97.8</v>
      </c>
      <c r="J126" s="2">
        <v>15.79</v>
      </c>
      <c r="K126" s="2">
        <v>0</v>
      </c>
      <c r="L126" s="2">
        <v>4.4000000000000004</v>
      </c>
      <c r="M126" s="2">
        <v>441275.42</v>
      </c>
      <c r="N126" s="2">
        <v>58234.87</v>
      </c>
    </row>
    <row r="127" spans="1:14" x14ac:dyDescent="0.45">
      <c r="A127" s="2" t="s">
        <v>92</v>
      </c>
      <c r="B127" s="3">
        <v>45658</v>
      </c>
      <c r="C127" s="2" t="s">
        <v>63</v>
      </c>
      <c r="D127" s="2" t="s">
        <v>57</v>
      </c>
      <c r="E127" s="2">
        <v>61541.21</v>
      </c>
      <c r="F127" s="2">
        <v>10396</v>
      </c>
      <c r="G127" s="2">
        <v>0.123</v>
      </c>
      <c r="H127" s="2">
        <v>25</v>
      </c>
      <c r="I127" s="2">
        <v>88.1</v>
      </c>
      <c r="J127" s="2">
        <v>2.34</v>
      </c>
      <c r="K127" s="2">
        <v>1</v>
      </c>
      <c r="L127" s="2">
        <v>4.8</v>
      </c>
      <c r="M127" s="2">
        <v>914544.17</v>
      </c>
      <c r="N127" s="2">
        <v>79831.73</v>
      </c>
    </row>
    <row r="128" spans="1:14" x14ac:dyDescent="0.45">
      <c r="A128" s="2" t="s">
        <v>92</v>
      </c>
      <c r="B128" s="3">
        <v>45689</v>
      </c>
      <c r="C128" s="2" t="s">
        <v>63</v>
      </c>
      <c r="D128" s="2" t="s">
        <v>57</v>
      </c>
      <c r="E128" s="2">
        <v>44747</v>
      </c>
      <c r="F128" s="2">
        <v>11076</v>
      </c>
      <c r="G128" s="2">
        <v>0.17599999999999999</v>
      </c>
      <c r="H128" s="2">
        <v>27</v>
      </c>
      <c r="I128" s="2">
        <v>98.3</v>
      </c>
      <c r="J128" s="2">
        <v>0.54</v>
      </c>
      <c r="K128" s="2">
        <v>0</v>
      </c>
      <c r="L128" s="2">
        <v>4.4000000000000004</v>
      </c>
      <c r="M128" s="2">
        <v>842439.67</v>
      </c>
      <c r="N128" s="2">
        <v>169983.63</v>
      </c>
    </row>
    <row r="129" spans="1:14" x14ac:dyDescent="0.45">
      <c r="A129" s="2" t="s">
        <v>92</v>
      </c>
      <c r="B129" s="3">
        <v>45717</v>
      </c>
      <c r="C129" s="2" t="s">
        <v>63</v>
      </c>
      <c r="D129" s="2" t="s">
        <v>57</v>
      </c>
      <c r="E129" s="2">
        <v>56517.9</v>
      </c>
      <c r="F129" s="2">
        <v>9574</v>
      </c>
      <c r="G129" s="2">
        <v>0.20399999999999999</v>
      </c>
      <c r="H129" s="2">
        <v>20</v>
      </c>
      <c r="I129" s="2">
        <v>88.2</v>
      </c>
      <c r="J129" s="2">
        <v>5.37</v>
      </c>
      <c r="K129" s="2">
        <v>1</v>
      </c>
      <c r="L129" s="2">
        <v>4.9000000000000004</v>
      </c>
      <c r="M129" s="2">
        <v>842157.92</v>
      </c>
      <c r="N129" s="2">
        <v>107348.22</v>
      </c>
    </row>
    <row r="130" spans="1:14" x14ac:dyDescent="0.45">
      <c r="A130" s="2" t="s">
        <v>92</v>
      </c>
      <c r="B130" s="3">
        <v>45748</v>
      </c>
      <c r="C130" s="2" t="s">
        <v>63</v>
      </c>
      <c r="D130" s="2" t="s">
        <v>57</v>
      </c>
      <c r="E130" s="2">
        <v>37828.5</v>
      </c>
      <c r="F130" s="2">
        <v>8221</v>
      </c>
      <c r="G130" s="2">
        <v>9.6000000000000002E-2</v>
      </c>
      <c r="H130" s="2">
        <v>19</v>
      </c>
      <c r="I130" s="2">
        <v>81.5</v>
      </c>
      <c r="J130" s="2">
        <v>3.19</v>
      </c>
      <c r="K130" s="2">
        <v>0</v>
      </c>
      <c r="L130" s="2">
        <v>4.8</v>
      </c>
      <c r="M130" s="2">
        <v>697155.3</v>
      </c>
      <c r="N130" s="2">
        <v>136408.54</v>
      </c>
    </row>
    <row r="131" spans="1:14" x14ac:dyDescent="0.45">
      <c r="A131" s="2" t="s">
        <v>93</v>
      </c>
      <c r="B131" s="3">
        <v>45658</v>
      </c>
      <c r="C131" s="2" t="s">
        <v>54</v>
      </c>
      <c r="D131" s="2" t="s">
        <v>57</v>
      </c>
      <c r="E131" s="2">
        <v>66250.53</v>
      </c>
      <c r="F131" s="2">
        <v>10618</v>
      </c>
      <c r="G131" s="2">
        <v>0.14199999999999999</v>
      </c>
      <c r="H131" s="2">
        <v>27</v>
      </c>
      <c r="I131" s="2">
        <v>88.3</v>
      </c>
      <c r="J131" s="2">
        <v>1.1000000000000001</v>
      </c>
      <c r="K131" s="2">
        <v>1</v>
      </c>
      <c r="L131" s="2">
        <v>4.4000000000000004</v>
      </c>
      <c r="M131" s="2">
        <v>849018.3</v>
      </c>
      <c r="N131" s="2">
        <v>149035.13</v>
      </c>
    </row>
    <row r="132" spans="1:14" x14ac:dyDescent="0.45">
      <c r="A132" s="2" t="s">
        <v>93</v>
      </c>
      <c r="B132" s="3">
        <v>45689</v>
      </c>
      <c r="C132" s="2" t="s">
        <v>54</v>
      </c>
      <c r="D132" s="2" t="s">
        <v>57</v>
      </c>
      <c r="E132" s="2">
        <v>68410.929999999993</v>
      </c>
      <c r="F132" s="2">
        <v>10596</v>
      </c>
      <c r="G132" s="2">
        <v>0.20699999999999999</v>
      </c>
      <c r="H132" s="2">
        <v>25</v>
      </c>
      <c r="I132" s="2">
        <v>81.2</v>
      </c>
      <c r="J132" s="2">
        <v>0.21</v>
      </c>
      <c r="K132" s="2">
        <v>0</v>
      </c>
      <c r="L132" s="2">
        <v>4</v>
      </c>
      <c r="M132" s="2">
        <v>801830.35</v>
      </c>
      <c r="N132" s="2">
        <v>114875.32</v>
      </c>
    </row>
    <row r="133" spans="1:14" x14ac:dyDescent="0.45">
      <c r="A133" s="2" t="s">
        <v>93</v>
      </c>
      <c r="B133" s="3">
        <v>45717</v>
      </c>
      <c r="C133" s="2" t="s">
        <v>54</v>
      </c>
      <c r="D133" s="2" t="s">
        <v>57</v>
      </c>
      <c r="E133" s="2">
        <v>50735.63</v>
      </c>
      <c r="F133" s="2">
        <v>9619</v>
      </c>
      <c r="G133" s="2">
        <v>0.14399999999999999</v>
      </c>
      <c r="H133" s="2">
        <v>19</v>
      </c>
      <c r="I133" s="2">
        <v>93.8</v>
      </c>
      <c r="J133" s="2">
        <v>5.12</v>
      </c>
      <c r="K133" s="2">
        <v>1</v>
      </c>
      <c r="L133" s="2">
        <v>4.5</v>
      </c>
      <c r="M133" s="2">
        <v>725235.28</v>
      </c>
      <c r="N133" s="2">
        <v>121632.24</v>
      </c>
    </row>
    <row r="134" spans="1:14" x14ac:dyDescent="0.45">
      <c r="A134" s="2" t="s">
        <v>93</v>
      </c>
      <c r="B134" s="3">
        <v>45748</v>
      </c>
      <c r="C134" s="2" t="s">
        <v>54</v>
      </c>
      <c r="D134" s="2" t="s">
        <v>57</v>
      </c>
      <c r="E134" s="2">
        <v>66455.8</v>
      </c>
      <c r="F134" s="2">
        <v>10836</v>
      </c>
      <c r="G134" s="2">
        <v>8.8999999999999996E-2</v>
      </c>
      <c r="H134" s="2">
        <v>25</v>
      </c>
      <c r="I134" s="2">
        <v>85</v>
      </c>
      <c r="J134" s="2">
        <v>9.77</v>
      </c>
      <c r="K134" s="2">
        <v>0</v>
      </c>
      <c r="L134" s="2">
        <v>4.5</v>
      </c>
      <c r="M134" s="2">
        <v>811452.72</v>
      </c>
      <c r="N134" s="2">
        <v>131325.67000000001</v>
      </c>
    </row>
    <row r="135" spans="1:14" x14ac:dyDescent="0.45">
      <c r="A135" s="2" t="s">
        <v>94</v>
      </c>
      <c r="B135" s="3">
        <v>45658</v>
      </c>
      <c r="C135" s="2" t="s">
        <v>59</v>
      </c>
      <c r="D135" s="2" t="s">
        <v>57</v>
      </c>
      <c r="E135" s="2">
        <v>70276.28</v>
      </c>
      <c r="F135" s="2">
        <v>3043</v>
      </c>
      <c r="G135" s="2">
        <v>7.9000000000000001E-2</v>
      </c>
      <c r="H135" s="2">
        <v>9</v>
      </c>
      <c r="I135" s="2">
        <v>87.9</v>
      </c>
      <c r="J135" s="2">
        <v>3.77</v>
      </c>
      <c r="K135" s="2">
        <v>0</v>
      </c>
      <c r="L135" s="2">
        <v>4.4000000000000004</v>
      </c>
      <c r="M135" s="2">
        <v>527300.13</v>
      </c>
      <c r="N135" s="2">
        <v>84197.87</v>
      </c>
    </row>
    <row r="136" spans="1:14" x14ac:dyDescent="0.45">
      <c r="A136" s="2" t="s">
        <v>94</v>
      </c>
      <c r="B136" s="3">
        <v>45689</v>
      </c>
      <c r="C136" s="2" t="s">
        <v>59</v>
      </c>
      <c r="D136" s="2" t="s">
        <v>57</v>
      </c>
      <c r="E136" s="2">
        <v>22071.64</v>
      </c>
      <c r="F136" s="2">
        <v>1814</v>
      </c>
      <c r="G136" s="2">
        <v>0.19600000000000001</v>
      </c>
      <c r="H136" s="2">
        <v>8</v>
      </c>
      <c r="I136" s="2">
        <v>81.099999999999994</v>
      </c>
      <c r="J136" s="2">
        <v>0.78</v>
      </c>
      <c r="K136" s="2">
        <v>0</v>
      </c>
      <c r="L136" s="2"/>
      <c r="M136" s="2">
        <v>400831.65</v>
      </c>
      <c r="N136" s="2">
        <v>70979.31</v>
      </c>
    </row>
    <row r="137" spans="1:14" x14ac:dyDescent="0.45">
      <c r="A137" s="2" t="s">
        <v>94</v>
      </c>
      <c r="B137" s="3">
        <v>45717</v>
      </c>
      <c r="C137" s="2" t="s">
        <v>59</v>
      </c>
      <c r="D137" s="2" t="s">
        <v>57</v>
      </c>
      <c r="E137" s="2">
        <v>52285.45</v>
      </c>
      <c r="F137" s="2">
        <v>3618</v>
      </c>
      <c r="G137" s="2">
        <v>8.5999999999999993E-2</v>
      </c>
      <c r="H137" s="2">
        <v>11</v>
      </c>
      <c r="I137" s="2">
        <v>95.6</v>
      </c>
      <c r="J137" s="2">
        <v>5.17</v>
      </c>
      <c r="K137" s="2">
        <v>1</v>
      </c>
      <c r="L137" s="2">
        <v>4.4000000000000004</v>
      </c>
      <c r="M137" s="2">
        <v>593247.25</v>
      </c>
      <c r="N137" s="2">
        <v>81240.289999999994</v>
      </c>
    </row>
    <row r="138" spans="1:14" x14ac:dyDescent="0.45">
      <c r="A138" s="2" t="s">
        <v>94</v>
      </c>
      <c r="B138" s="3">
        <v>45748</v>
      </c>
      <c r="C138" s="2" t="s">
        <v>59</v>
      </c>
      <c r="D138" s="2" t="s">
        <v>57</v>
      </c>
      <c r="E138" s="2">
        <v>70366.759999999995</v>
      </c>
      <c r="F138" s="2">
        <v>1963</v>
      </c>
      <c r="G138" s="2">
        <v>0.182</v>
      </c>
      <c r="H138" s="2">
        <v>8</v>
      </c>
      <c r="I138" s="2">
        <v>89.8</v>
      </c>
      <c r="J138" s="2">
        <v>3.2</v>
      </c>
      <c r="K138" s="2">
        <v>0</v>
      </c>
      <c r="L138" s="2">
        <v>4.5999999999999996</v>
      </c>
      <c r="M138" s="2">
        <v>529075.94999999995</v>
      </c>
      <c r="N138" s="2">
        <v>95978.83</v>
      </c>
    </row>
    <row r="139" spans="1:14" x14ac:dyDescent="0.45">
      <c r="A139" s="2" t="s">
        <v>95</v>
      </c>
      <c r="B139" s="3">
        <v>45658</v>
      </c>
      <c r="C139" s="2" t="s">
        <v>63</v>
      </c>
      <c r="D139" s="2" t="s">
        <v>55</v>
      </c>
      <c r="E139" s="2">
        <v>71320.66</v>
      </c>
      <c r="F139" s="2">
        <v>7888</v>
      </c>
      <c r="G139" s="2">
        <v>4.8000000000000001E-2</v>
      </c>
      <c r="H139" s="2">
        <v>20</v>
      </c>
      <c r="I139" s="2">
        <v>78.099999999999994</v>
      </c>
      <c r="J139" s="2">
        <v>3.4</v>
      </c>
      <c r="K139" s="2">
        <v>0</v>
      </c>
      <c r="L139" s="2"/>
      <c r="M139" s="2">
        <v>633638.03</v>
      </c>
      <c r="N139" s="2">
        <v>99402.01</v>
      </c>
    </row>
    <row r="140" spans="1:14" x14ac:dyDescent="0.45">
      <c r="A140" s="2" t="s">
        <v>95</v>
      </c>
      <c r="B140" s="3">
        <v>45689</v>
      </c>
      <c r="C140" s="2" t="s">
        <v>63</v>
      </c>
      <c r="D140" s="2" t="s">
        <v>55</v>
      </c>
      <c r="E140" s="2">
        <v>75109.67</v>
      </c>
      <c r="F140" s="2">
        <v>6244</v>
      </c>
      <c r="G140" s="2">
        <v>7.9000000000000001E-2</v>
      </c>
      <c r="H140" s="2">
        <v>15</v>
      </c>
      <c r="I140" s="2">
        <v>96.3</v>
      </c>
      <c r="J140" s="2">
        <v>7.38</v>
      </c>
      <c r="K140" s="2">
        <v>0</v>
      </c>
      <c r="L140" s="2">
        <v>3.7</v>
      </c>
      <c r="M140" s="2">
        <v>743348.84</v>
      </c>
      <c r="N140" s="2">
        <v>104186.09</v>
      </c>
    </row>
    <row r="141" spans="1:14" x14ac:dyDescent="0.45">
      <c r="A141" s="2" t="s">
        <v>95</v>
      </c>
      <c r="B141" s="3">
        <v>45717</v>
      </c>
      <c r="C141" s="2" t="s">
        <v>63</v>
      </c>
      <c r="D141" s="2" t="s">
        <v>55</v>
      </c>
      <c r="E141" s="2">
        <v>69779</v>
      </c>
      <c r="F141" s="2">
        <v>6544</v>
      </c>
      <c r="G141" s="2">
        <v>0.152</v>
      </c>
      <c r="H141" s="2">
        <v>18</v>
      </c>
      <c r="I141" s="2">
        <v>90.2</v>
      </c>
      <c r="J141" s="2">
        <v>0.85</v>
      </c>
      <c r="K141" s="2">
        <v>1</v>
      </c>
      <c r="L141" s="2">
        <v>3.3</v>
      </c>
      <c r="M141" s="2">
        <v>758827.64</v>
      </c>
      <c r="N141" s="2">
        <v>161439.48000000001</v>
      </c>
    </row>
    <row r="142" spans="1:14" x14ac:dyDescent="0.45">
      <c r="A142" s="2" t="s">
        <v>95</v>
      </c>
      <c r="B142" s="3">
        <v>45748</v>
      </c>
      <c r="C142" s="2" t="s">
        <v>63</v>
      </c>
      <c r="D142" s="2" t="s">
        <v>55</v>
      </c>
      <c r="E142" s="2">
        <v>44211.95</v>
      </c>
      <c r="F142" s="2">
        <v>5465</v>
      </c>
      <c r="G142" s="2">
        <v>0.187</v>
      </c>
      <c r="H142" s="2">
        <v>12</v>
      </c>
      <c r="I142" s="2">
        <v>90</v>
      </c>
      <c r="J142" s="2">
        <v>2.89</v>
      </c>
      <c r="K142" s="2">
        <v>0</v>
      </c>
      <c r="L142" s="2">
        <v>3.6</v>
      </c>
      <c r="M142" s="2">
        <v>646559.71</v>
      </c>
      <c r="N142" s="2">
        <v>97981.75</v>
      </c>
    </row>
    <row r="143" spans="1:14" x14ac:dyDescent="0.45">
      <c r="A143" s="2" t="s">
        <v>96</v>
      </c>
      <c r="B143" s="3">
        <v>45658</v>
      </c>
      <c r="C143" s="2" t="s">
        <v>66</v>
      </c>
      <c r="D143" s="2" t="s">
        <v>57</v>
      </c>
      <c r="E143" s="2">
        <v>51430.31</v>
      </c>
      <c r="F143" s="2">
        <v>6427</v>
      </c>
      <c r="G143" s="2">
        <v>0.23400000000000001</v>
      </c>
      <c r="H143" s="2">
        <v>14</v>
      </c>
      <c r="I143" s="2">
        <v>88.8</v>
      </c>
      <c r="J143" s="2">
        <v>0.77</v>
      </c>
      <c r="K143" s="2">
        <v>0</v>
      </c>
      <c r="L143" s="2">
        <v>4.0999999999999996</v>
      </c>
      <c r="M143" s="2">
        <v>715890.53</v>
      </c>
      <c r="N143" s="2">
        <v>109032.15</v>
      </c>
    </row>
    <row r="144" spans="1:14" x14ac:dyDescent="0.45">
      <c r="A144" s="2" t="s">
        <v>96</v>
      </c>
      <c r="B144" s="3">
        <v>45689</v>
      </c>
      <c r="C144" s="2" t="s">
        <v>66</v>
      </c>
      <c r="D144" s="2" t="s">
        <v>57</v>
      </c>
      <c r="E144" s="2">
        <v>45706.49</v>
      </c>
      <c r="F144" s="2">
        <v>6704</v>
      </c>
      <c r="G144" s="2">
        <v>3.7999999999999999E-2</v>
      </c>
      <c r="H144" s="2">
        <v>15</v>
      </c>
      <c r="I144" s="2">
        <v>94.2</v>
      </c>
      <c r="J144" s="2">
        <v>2.92</v>
      </c>
      <c r="K144" s="2">
        <v>0</v>
      </c>
      <c r="L144" s="2">
        <v>4.2</v>
      </c>
      <c r="M144" s="2">
        <v>715097.57</v>
      </c>
      <c r="N144" s="2">
        <v>151875.85999999999</v>
      </c>
    </row>
    <row r="145" spans="1:14" x14ac:dyDescent="0.45">
      <c r="A145" s="2" t="s">
        <v>96</v>
      </c>
      <c r="B145" s="3">
        <v>45717</v>
      </c>
      <c r="C145" s="2" t="s">
        <v>66</v>
      </c>
      <c r="D145" s="2" t="s">
        <v>57</v>
      </c>
      <c r="E145" s="2">
        <v>44034.6</v>
      </c>
      <c r="F145" s="2">
        <v>5645</v>
      </c>
      <c r="G145" s="2">
        <v>6.9000000000000006E-2</v>
      </c>
      <c r="H145" s="2">
        <v>18</v>
      </c>
      <c r="I145" s="2">
        <v>88.5</v>
      </c>
      <c r="J145" s="2">
        <v>3.07</v>
      </c>
      <c r="K145" s="2">
        <v>0</v>
      </c>
      <c r="L145" s="2">
        <v>3.8</v>
      </c>
      <c r="M145" s="2">
        <v>682639.28</v>
      </c>
      <c r="N145" s="2">
        <v>77557.53</v>
      </c>
    </row>
    <row r="146" spans="1:14" x14ac:dyDescent="0.45">
      <c r="A146" s="2" t="s">
        <v>96</v>
      </c>
      <c r="B146" s="3">
        <v>45748</v>
      </c>
      <c r="C146" s="2" t="s">
        <v>66</v>
      </c>
      <c r="D146" s="2" t="s">
        <v>57</v>
      </c>
      <c r="E146" s="2">
        <v>50198.12</v>
      </c>
      <c r="F146" s="2">
        <v>6089</v>
      </c>
      <c r="G146" s="2">
        <v>0.182</v>
      </c>
      <c r="H146" s="2">
        <v>19</v>
      </c>
      <c r="I146" s="2">
        <v>94</v>
      </c>
      <c r="J146" s="2">
        <v>9.6999999999999993</v>
      </c>
      <c r="K146" s="2">
        <v>0</v>
      </c>
      <c r="L146" s="2">
        <v>3.9</v>
      </c>
      <c r="M146" s="2">
        <v>695098.51</v>
      </c>
      <c r="N146" s="2">
        <v>108192.75</v>
      </c>
    </row>
    <row r="147" spans="1:14" x14ac:dyDescent="0.45">
      <c r="A147" s="2" t="s">
        <v>97</v>
      </c>
      <c r="B147" s="3">
        <v>45658</v>
      </c>
      <c r="C147" s="2" t="s">
        <v>59</v>
      </c>
      <c r="D147" s="2" t="s">
        <v>55</v>
      </c>
      <c r="E147" s="2">
        <v>70488.2</v>
      </c>
      <c r="F147" s="2">
        <v>4312</v>
      </c>
      <c r="G147" s="2">
        <v>0.16900000000000001</v>
      </c>
      <c r="H147" s="2">
        <v>12</v>
      </c>
      <c r="I147" s="2">
        <v>90.2</v>
      </c>
      <c r="J147" s="2">
        <v>3.71</v>
      </c>
      <c r="K147" s="2">
        <v>0</v>
      </c>
      <c r="L147" s="2">
        <v>3.2</v>
      </c>
      <c r="M147" s="2">
        <v>577732.56999999995</v>
      </c>
      <c r="N147" s="2">
        <v>93804.27</v>
      </c>
    </row>
    <row r="148" spans="1:14" x14ac:dyDescent="0.45">
      <c r="A148" s="2" t="s">
        <v>97</v>
      </c>
      <c r="B148" s="3">
        <v>45689</v>
      </c>
      <c r="C148" s="2" t="s">
        <v>59</v>
      </c>
      <c r="D148" s="2" t="s">
        <v>55</v>
      </c>
      <c r="E148" s="2">
        <v>50909.27</v>
      </c>
      <c r="F148" s="2">
        <v>3152</v>
      </c>
      <c r="G148" s="2">
        <v>0.06</v>
      </c>
      <c r="H148" s="2">
        <v>13</v>
      </c>
      <c r="I148" s="2">
        <v>93.7</v>
      </c>
      <c r="J148" s="2">
        <v>10.79</v>
      </c>
      <c r="K148" s="2">
        <v>0</v>
      </c>
      <c r="L148" s="2">
        <v>3.5</v>
      </c>
      <c r="M148" s="2">
        <v>537058.32999999996</v>
      </c>
      <c r="N148" s="2">
        <v>93555.71</v>
      </c>
    </row>
    <row r="149" spans="1:14" x14ac:dyDescent="0.45">
      <c r="A149" s="2" t="s">
        <v>97</v>
      </c>
      <c r="B149" s="3">
        <v>45717</v>
      </c>
      <c r="C149" s="2" t="s">
        <v>59</v>
      </c>
      <c r="D149" s="2" t="s">
        <v>55</v>
      </c>
      <c r="E149" s="2">
        <v>53351.7</v>
      </c>
      <c r="F149" s="2">
        <v>4259</v>
      </c>
      <c r="G149" s="2">
        <v>0.156</v>
      </c>
      <c r="H149" s="2">
        <v>15</v>
      </c>
      <c r="I149" s="2">
        <v>93.7</v>
      </c>
      <c r="J149" s="2">
        <v>6.03</v>
      </c>
      <c r="K149" s="2">
        <v>0</v>
      </c>
      <c r="L149" s="2">
        <v>3.4</v>
      </c>
      <c r="M149" s="2">
        <v>601568.87</v>
      </c>
      <c r="N149" s="2">
        <v>91634.82</v>
      </c>
    </row>
    <row r="150" spans="1:14" x14ac:dyDescent="0.45">
      <c r="A150" s="2" t="s">
        <v>97</v>
      </c>
      <c r="B150" s="3">
        <v>45748</v>
      </c>
      <c r="C150" s="2" t="s">
        <v>59</v>
      </c>
      <c r="D150" s="2" t="s">
        <v>55</v>
      </c>
      <c r="E150" s="2">
        <v>60322.400000000001</v>
      </c>
      <c r="F150" s="2">
        <v>3350</v>
      </c>
      <c r="G150" s="2">
        <v>0.108</v>
      </c>
      <c r="H150" s="2">
        <v>12</v>
      </c>
      <c r="I150" s="2">
        <v>89.4</v>
      </c>
      <c r="J150" s="2">
        <v>4.92</v>
      </c>
      <c r="K150" s="2">
        <v>0</v>
      </c>
      <c r="L150" s="2">
        <v>3.4</v>
      </c>
      <c r="M150" s="2">
        <v>570964.84</v>
      </c>
      <c r="N150" s="2">
        <v>81331.070000000007</v>
      </c>
    </row>
    <row r="151" spans="1:14" x14ac:dyDescent="0.45">
      <c r="A151" s="2" t="s">
        <v>98</v>
      </c>
      <c r="B151" s="3">
        <v>45658</v>
      </c>
      <c r="C151" s="2" t="s">
        <v>63</v>
      </c>
      <c r="D151" s="2" t="s">
        <v>67</v>
      </c>
      <c r="E151" s="2">
        <v>51575.68</v>
      </c>
      <c r="F151" s="2">
        <v>5329</v>
      </c>
      <c r="G151" s="2">
        <v>4.7E-2</v>
      </c>
      <c r="H151" s="2">
        <v>17</v>
      </c>
      <c r="I151" s="2">
        <v>88.1</v>
      </c>
      <c r="J151" s="2">
        <v>19.78</v>
      </c>
      <c r="K151" s="2">
        <v>0</v>
      </c>
      <c r="L151" s="2">
        <v>3.8</v>
      </c>
      <c r="M151" s="2">
        <v>614024.91</v>
      </c>
      <c r="N151" s="2">
        <v>84828.93</v>
      </c>
    </row>
    <row r="152" spans="1:14" x14ac:dyDescent="0.45">
      <c r="A152" s="2" t="s">
        <v>98</v>
      </c>
      <c r="B152" s="3">
        <v>45689</v>
      </c>
      <c r="C152" s="2" t="s">
        <v>63</v>
      </c>
      <c r="D152" s="2" t="s">
        <v>67</v>
      </c>
      <c r="E152" s="2">
        <v>43319.94</v>
      </c>
      <c r="F152" s="2">
        <v>6551</v>
      </c>
      <c r="G152" s="2">
        <v>4.3999999999999997E-2</v>
      </c>
      <c r="H152" s="2">
        <v>13</v>
      </c>
      <c r="I152" s="2">
        <v>99</v>
      </c>
      <c r="J152" s="2">
        <v>5.45</v>
      </c>
      <c r="K152" s="2">
        <v>0</v>
      </c>
      <c r="L152" s="2">
        <v>4.0999999999999996</v>
      </c>
      <c r="M152" s="2">
        <v>712868.35</v>
      </c>
      <c r="N152" s="2">
        <v>133650.51</v>
      </c>
    </row>
    <row r="153" spans="1:14" x14ac:dyDescent="0.45">
      <c r="A153" s="2" t="s">
        <v>98</v>
      </c>
      <c r="B153" s="3">
        <v>45717</v>
      </c>
      <c r="C153" s="2" t="s">
        <v>63</v>
      </c>
      <c r="D153" s="2" t="s">
        <v>67</v>
      </c>
      <c r="E153" s="2">
        <v>47093.55</v>
      </c>
      <c r="F153" s="2">
        <v>5550</v>
      </c>
      <c r="G153" s="2">
        <v>0.1</v>
      </c>
      <c r="H153" s="2">
        <v>12</v>
      </c>
      <c r="I153" s="2">
        <v>95</v>
      </c>
      <c r="J153" s="2">
        <v>2.33</v>
      </c>
      <c r="K153" s="2">
        <v>1</v>
      </c>
      <c r="L153" s="2">
        <v>3.7</v>
      </c>
      <c r="M153" s="2">
        <v>696744.15</v>
      </c>
      <c r="N153" s="2">
        <v>152230.09</v>
      </c>
    </row>
    <row r="154" spans="1:14" x14ac:dyDescent="0.45">
      <c r="A154" s="2" t="s">
        <v>98</v>
      </c>
      <c r="B154" s="3">
        <v>45748</v>
      </c>
      <c r="C154" s="2" t="s">
        <v>63</v>
      </c>
      <c r="D154" s="2" t="s">
        <v>67</v>
      </c>
      <c r="E154" s="2">
        <v>71855.09</v>
      </c>
      <c r="F154" s="2">
        <v>5911</v>
      </c>
      <c r="G154" s="2">
        <v>0.19700000000000001</v>
      </c>
      <c r="H154" s="2">
        <v>15</v>
      </c>
      <c r="I154" s="2">
        <v>94.3</v>
      </c>
      <c r="J154" s="2">
        <v>3.55</v>
      </c>
      <c r="K154" s="2">
        <v>0</v>
      </c>
      <c r="L154" s="2">
        <v>4.0999999999999996</v>
      </c>
      <c r="M154" s="2">
        <v>725847.99</v>
      </c>
      <c r="N154" s="2">
        <v>122698.73</v>
      </c>
    </row>
    <row r="155" spans="1:14" x14ac:dyDescent="0.45">
      <c r="A155" s="2" t="s">
        <v>99</v>
      </c>
      <c r="B155" s="3">
        <v>45658</v>
      </c>
      <c r="C155" s="2" t="s">
        <v>54</v>
      </c>
      <c r="D155" s="2" t="s">
        <v>57</v>
      </c>
      <c r="E155" s="2">
        <v>75645.23</v>
      </c>
      <c r="F155" s="2">
        <v>9674</v>
      </c>
      <c r="G155" s="2">
        <v>0.23400000000000001</v>
      </c>
      <c r="H155" s="2">
        <v>21</v>
      </c>
      <c r="I155" s="2">
        <v>87.4</v>
      </c>
      <c r="J155" s="2">
        <v>0.2</v>
      </c>
      <c r="K155" s="2">
        <v>0</v>
      </c>
      <c r="L155" s="2">
        <v>4.5</v>
      </c>
      <c r="M155" s="2">
        <v>785028.25</v>
      </c>
      <c r="N155" s="2">
        <v>110726.44</v>
      </c>
    </row>
    <row r="156" spans="1:14" x14ac:dyDescent="0.45">
      <c r="A156" s="2" t="s">
        <v>99</v>
      </c>
      <c r="B156" s="3">
        <v>45689</v>
      </c>
      <c r="C156" s="2" t="s">
        <v>54</v>
      </c>
      <c r="D156" s="2" t="s">
        <v>57</v>
      </c>
      <c r="E156" s="2">
        <v>64374.75</v>
      </c>
      <c r="F156" s="2">
        <v>6740</v>
      </c>
      <c r="G156" s="2">
        <v>0.16900000000000001</v>
      </c>
      <c r="H156" s="2">
        <v>18</v>
      </c>
      <c r="I156" s="2">
        <v>87</v>
      </c>
      <c r="J156" s="2">
        <v>2.09</v>
      </c>
      <c r="K156" s="2">
        <v>0</v>
      </c>
      <c r="L156" s="2">
        <v>4.2</v>
      </c>
      <c r="M156" s="2">
        <v>698492.67</v>
      </c>
      <c r="N156" s="2">
        <v>117319.32</v>
      </c>
    </row>
    <row r="157" spans="1:14" x14ac:dyDescent="0.45">
      <c r="A157" s="2" t="s">
        <v>99</v>
      </c>
      <c r="B157" s="3">
        <v>45717</v>
      </c>
      <c r="C157" s="2" t="s">
        <v>54</v>
      </c>
      <c r="D157" s="2" t="s">
        <v>57</v>
      </c>
      <c r="E157" s="2">
        <v>61433.84</v>
      </c>
      <c r="F157" s="2">
        <v>7745</v>
      </c>
      <c r="G157" s="2">
        <v>0.18</v>
      </c>
      <c r="H157" s="2">
        <v>16</v>
      </c>
      <c r="I157" s="2">
        <v>90.5</v>
      </c>
      <c r="J157" s="2">
        <v>2.2599999999999998</v>
      </c>
      <c r="K157" s="2">
        <v>0</v>
      </c>
      <c r="L157" s="2">
        <v>4.2</v>
      </c>
      <c r="M157" s="2">
        <v>685830.24</v>
      </c>
      <c r="N157" s="2">
        <v>128736.18</v>
      </c>
    </row>
    <row r="158" spans="1:14" x14ac:dyDescent="0.45">
      <c r="A158" s="2" t="s">
        <v>99</v>
      </c>
      <c r="B158" s="3">
        <v>45748</v>
      </c>
      <c r="C158" s="2" t="s">
        <v>54</v>
      </c>
      <c r="D158" s="2" t="s">
        <v>57</v>
      </c>
      <c r="E158" s="2">
        <v>42698.14</v>
      </c>
      <c r="F158" s="2">
        <v>7693</v>
      </c>
      <c r="G158" s="2">
        <v>0.187</v>
      </c>
      <c r="H158" s="2">
        <v>19</v>
      </c>
      <c r="I158" s="2">
        <v>90.1</v>
      </c>
      <c r="J158" s="2">
        <v>0.44</v>
      </c>
      <c r="K158" s="2">
        <v>0</v>
      </c>
      <c r="L158" s="2">
        <v>4.4000000000000004</v>
      </c>
      <c r="M158" s="2">
        <v>702318.94</v>
      </c>
      <c r="N158" s="2">
        <v>112829.29</v>
      </c>
    </row>
    <row r="159" spans="1:14" x14ac:dyDescent="0.45">
      <c r="A159" s="2" t="s">
        <v>100</v>
      </c>
      <c r="B159" s="3">
        <v>45658</v>
      </c>
      <c r="C159" s="2" t="s">
        <v>59</v>
      </c>
      <c r="D159" s="2" t="s">
        <v>67</v>
      </c>
      <c r="E159" s="2">
        <v>86883.31</v>
      </c>
      <c r="F159" s="2">
        <v>6424</v>
      </c>
      <c r="G159" s="2">
        <v>5.7000000000000002E-2</v>
      </c>
      <c r="H159" s="2">
        <v>19</v>
      </c>
      <c r="I159" s="2">
        <v>85.2</v>
      </c>
      <c r="J159" s="2">
        <v>3.08</v>
      </c>
      <c r="K159" s="2">
        <v>0</v>
      </c>
      <c r="L159" s="2">
        <v>3.9</v>
      </c>
      <c r="M159" s="2">
        <v>700078.32</v>
      </c>
      <c r="N159" s="2">
        <v>123707.58</v>
      </c>
    </row>
    <row r="160" spans="1:14" x14ac:dyDescent="0.45">
      <c r="A160" s="2" t="s">
        <v>100</v>
      </c>
      <c r="B160" s="3">
        <v>45689</v>
      </c>
      <c r="C160" s="2" t="s">
        <v>59</v>
      </c>
      <c r="D160" s="2" t="s">
        <v>67</v>
      </c>
      <c r="E160" s="2">
        <v>41863.08</v>
      </c>
      <c r="F160" s="2">
        <v>5400</v>
      </c>
      <c r="G160" s="2">
        <v>0.114</v>
      </c>
      <c r="H160" s="2">
        <v>11</v>
      </c>
      <c r="I160" s="2">
        <v>91.6</v>
      </c>
      <c r="J160" s="2">
        <v>7.99</v>
      </c>
      <c r="K160" s="2">
        <v>0</v>
      </c>
      <c r="L160" s="2">
        <v>3</v>
      </c>
      <c r="M160" s="2">
        <v>602002.31999999995</v>
      </c>
      <c r="N160" s="2">
        <v>110453.28</v>
      </c>
    </row>
    <row r="161" spans="1:14" x14ac:dyDescent="0.45">
      <c r="A161" s="2" t="s">
        <v>100</v>
      </c>
      <c r="B161" s="3">
        <v>45717</v>
      </c>
      <c r="C161" s="2" t="s">
        <v>59</v>
      </c>
      <c r="D161" s="2" t="s">
        <v>67</v>
      </c>
      <c r="E161" s="2">
        <v>56918.16</v>
      </c>
      <c r="F161" s="2">
        <v>7015</v>
      </c>
      <c r="G161" s="2">
        <v>0.158</v>
      </c>
      <c r="H161" s="2">
        <v>18</v>
      </c>
      <c r="I161" s="2">
        <v>74.2</v>
      </c>
      <c r="J161" s="2">
        <v>0.2</v>
      </c>
      <c r="K161" s="2">
        <v>0</v>
      </c>
      <c r="L161" s="2">
        <v>3.4</v>
      </c>
      <c r="M161" s="2">
        <v>724216.07</v>
      </c>
      <c r="N161" s="2">
        <v>100627.56</v>
      </c>
    </row>
    <row r="162" spans="1:14" x14ac:dyDescent="0.45">
      <c r="A162" s="2" t="s">
        <v>100</v>
      </c>
      <c r="B162" s="3">
        <v>45748</v>
      </c>
      <c r="C162" s="2" t="s">
        <v>59</v>
      </c>
      <c r="D162" s="2" t="s">
        <v>67</v>
      </c>
      <c r="E162" s="2">
        <v>23254.57</v>
      </c>
      <c r="F162" s="2">
        <v>3847</v>
      </c>
      <c r="G162" s="2">
        <v>0.159</v>
      </c>
      <c r="H162" s="2">
        <v>12</v>
      </c>
      <c r="I162" s="2">
        <v>93</v>
      </c>
      <c r="J162" s="2">
        <v>5.46</v>
      </c>
      <c r="K162" s="2">
        <v>0</v>
      </c>
      <c r="L162" s="2">
        <v>3.3</v>
      </c>
      <c r="M162" s="2">
        <v>620973.03</v>
      </c>
      <c r="N162" s="2">
        <v>72303.850000000006</v>
      </c>
    </row>
    <row r="163" spans="1:14" x14ac:dyDescent="0.45">
      <c r="A163" s="2" t="s">
        <v>101</v>
      </c>
      <c r="B163" s="3">
        <v>45658</v>
      </c>
      <c r="C163" s="2" t="s">
        <v>63</v>
      </c>
      <c r="D163" s="2" t="s">
        <v>57</v>
      </c>
      <c r="E163" s="2">
        <v>41443.410000000003</v>
      </c>
      <c r="F163" s="2">
        <v>7455</v>
      </c>
      <c r="G163" s="2">
        <v>0.17499999999999999</v>
      </c>
      <c r="H163" s="2">
        <v>16</v>
      </c>
      <c r="I163" s="2">
        <v>90.1</v>
      </c>
      <c r="J163" s="2">
        <v>4.05</v>
      </c>
      <c r="K163" s="2">
        <v>0</v>
      </c>
      <c r="L163" s="2">
        <v>4</v>
      </c>
      <c r="M163" s="2">
        <v>650480.06000000006</v>
      </c>
      <c r="N163" s="2">
        <v>109012.07</v>
      </c>
    </row>
    <row r="164" spans="1:14" x14ac:dyDescent="0.45">
      <c r="A164" s="2" t="s">
        <v>101</v>
      </c>
      <c r="B164" s="3">
        <v>45689</v>
      </c>
      <c r="C164" s="2" t="s">
        <v>63</v>
      </c>
      <c r="D164" s="2" t="s">
        <v>57</v>
      </c>
      <c r="E164" s="2">
        <v>48438.85</v>
      </c>
      <c r="F164" s="2">
        <v>6992</v>
      </c>
      <c r="G164" s="2">
        <v>3.4000000000000002E-2</v>
      </c>
      <c r="H164" s="2">
        <v>20</v>
      </c>
      <c r="I164" s="2">
        <v>91</v>
      </c>
      <c r="J164" s="2">
        <v>4.3600000000000003</v>
      </c>
      <c r="K164" s="2">
        <v>0</v>
      </c>
      <c r="L164" s="2">
        <v>4.2</v>
      </c>
      <c r="M164" s="2">
        <v>778298.88</v>
      </c>
      <c r="N164" s="2">
        <v>130076.72</v>
      </c>
    </row>
    <row r="165" spans="1:14" x14ac:dyDescent="0.45">
      <c r="A165" s="2" t="s">
        <v>101</v>
      </c>
      <c r="B165" s="3">
        <v>45717</v>
      </c>
      <c r="C165" s="2" t="s">
        <v>63</v>
      </c>
      <c r="D165" s="2" t="s">
        <v>57</v>
      </c>
      <c r="E165" s="2">
        <v>57143.3</v>
      </c>
      <c r="F165" s="2">
        <v>8038</v>
      </c>
      <c r="G165" s="2">
        <v>0.193</v>
      </c>
      <c r="H165" s="2">
        <v>17</v>
      </c>
      <c r="I165" s="2">
        <v>72.599999999999994</v>
      </c>
      <c r="J165" s="2"/>
      <c r="K165" s="2">
        <v>0</v>
      </c>
      <c r="L165" s="2">
        <v>4.2</v>
      </c>
      <c r="M165" s="2">
        <v>677096.71</v>
      </c>
      <c r="N165" s="2">
        <v>97174.11</v>
      </c>
    </row>
    <row r="166" spans="1:14" x14ac:dyDescent="0.45">
      <c r="A166" s="2" t="s">
        <v>101</v>
      </c>
      <c r="B166" s="3">
        <v>45748</v>
      </c>
      <c r="C166" s="2" t="s">
        <v>63</v>
      </c>
      <c r="D166" s="2" t="s">
        <v>57</v>
      </c>
      <c r="E166" s="2">
        <v>66870.62</v>
      </c>
      <c r="F166" s="2">
        <v>6055</v>
      </c>
      <c r="G166" s="2">
        <v>7.4999999999999997E-2</v>
      </c>
      <c r="H166" s="2">
        <v>19</v>
      </c>
      <c r="I166" s="2">
        <v>93.8</v>
      </c>
      <c r="J166" s="2">
        <v>0.54</v>
      </c>
      <c r="K166" s="2">
        <v>0</v>
      </c>
      <c r="L166" s="2">
        <v>4.3</v>
      </c>
      <c r="M166" s="2">
        <v>692008.64</v>
      </c>
      <c r="N166" s="2">
        <v>116337.87</v>
      </c>
    </row>
    <row r="167" spans="1:14" x14ac:dyDescent="0.45">
      <c r="A167" s="2" t="s">
        <v>102</v>
      </c>
      <c r="B167" s="3">
        <v>45658</v>
      </c>
      <c r="C167" s="2" t="s">
        <v>59</v>
      </c>
      <c r="D167" s="2" t="s">
        <v>67</v>
      </c>
      <c r="E167" s="2">
        <v>72150.53</v>
      </c>
      <c r="F167" s="2">
        <v>9323</v>
      </c>
      <c r="G167" s="2">
        <v>0.157</v>
      </c>
      <c r="H167" s="2">
        <v>22</v>
      </c>
      <c r="I167" s="2">
        <v>82.9</v>
      </c>
      <c r="J167" s="2">
        <v>11.37</v>
      </c>
      <c r="K167" s="2">
        <v>1</v>
      </c>
      <c r="L167" s="2">
        <v>4.3</v>
      </c>
      <c r="M167" s="2">
        <v>825797.91</v>
      </c>
      <c r="N167" s="2">
        <v>130945.24</v>
      </c>
    </row>
    <row r="168" spans="1:14" x14ac:dyDescent="0.45">
      <c r="A168" s="2" t="s">
        <v>102</v>
      </c>
      <c r="B168" s="3">
        <v>45689</v>
      </c>
      <c r="C168" s="2" t="s">
        <v>59</v>
      </c>
      <c r="D168" s="2" t="s">
        <v>67</v>
      </c>
      <c r="E168" s="2">
        <v>35303.300000000003</v>
      </c>
      <c r="F168" s="2">
        <v>8789</v>
      </c>
      <c r="G168" s="2">
        <v>0.123</v>
      </c>
      <c r="H168" s="2">
        <v>22</v>
      </c>
      <c r="I168" s="2">
        <v>86.1</v>
      </c>
      <c r="J168" s="2">
        <v>9.43</v>
      </c>
      <c r="K168" s="2">
        <v>0</v>
      </c>
      <c r="L168" s="2">
        <v>4.2</v>
      </c>
      <c r="M168" s="2">
        <v>706285.52</v>
      </c>
      <c r="N168" s="2">
        <v>138014.72</v>
      </c>
    </row>
    <row r="169" spans="1:14" x14ac:dyDescent="0.45">
      <c r="A169" s="2" t="s">
        <v>102</v>
      </c>
      <c r="B169" s="3">
        <v>45717</v>
      </c>
      <c r="C169" s="2" t="s">
        <v>59</v>
      </c>
      <c r="D169" s="2" t="s">
        <v>67</v>
      </c>
      <c r="E169" s="2">
        <v>30301.86</v>
      </c>
      <c r="F169" s="2">
        <v>6939</v>
      </c>
      <c r="G169" s="2">
        <v>0.09</v>
      </c>
      <c r="H169" s="2">
        <v>16</v>
      </c>
      <c r="I169" s="2">
        <v>90.3</v>
      </c>
      <c r="J169" s="2">
        <v>3.49</v>
      </c>
      <c r="K169" s="2">
        <v>0</v>
      </c>
      <c r="L169" s="2">
        <v>4</v>
      </c>
      <c r="M169" s="2">
        <v>665534.69999999995</v>
      </c>
      <c r="N169" s="2">
        <v>113167.73</v>
      </c>
    </row>
    <row r="170" spans="1:14" x14ac:dyDescent="0.45">
      <c r="A170" s="2" t="s">
        <v>102</v>
      </c>
      <c r="B170" s="3">
        <v>45748</v>
      </c>
      <c r="C170" s="2" t="s">
        <v>59</v>
      </c>
      <c r="D170" s="2" t="s">
        <v>67</v>
      </c>
      <c r="E170" s="2">
        <v>78432.14</v>
      </c>
      <c r="F170" s="2">
        <v>9440</v>
      </c>
      <c r="G170" s="2">
        <v>0.126</v>
      </c>
      <c r="H170" s="2">
        <v>23</v>
      </c>
      <c r="I170" s="2">
        <v>89.2</v>
      </c>
      <c r="J170" s="2">
        <v>7.86</v>
      </c>
      <c r="K170" s="2">
        <v>0</v>
      </c>
      <c r="L170" s="2">
        <v>4.0999999999999996</v>
      </c>
      <c r="M170" s="2">
        <v>820729.29</v>
      </c>
      <c r="N170" s="2">
        <v>159325.47</v>
      </c>
    </row>
    <row r="171" spans="1:14" x14ac:dyDescent="0.45">
      <c r="A171" s="2" t="s">
        <v>103</v>
      </c>
      <c r="B171" s="3">
        <v>45658</v>
      </c>
      <c r="C171" s="2" t="s">
        <v>54</v>
      </c>
      <c r="D171" s="2" t="s">
        <v>55</v>
      </c>
      <c r="E171" s="2">
        <v>62059.18</v>
      </c>
      <c r="F171" s="2">
        <v>9374</v>
      </c>
      <c r="G171" s="2">
        <v>0.13600000000000001</v>
      </c>
      <c r="H171" s="2">
        <v>25</v>
      </c>
      <c r="I171" s="2">
        <v>87.1</v>
      </c>
      <c r="J171" s="2">
        <v>12.55</v>
      </c>
      <c r="K171" s="2">
        <v>0</v>
      </c>
      <c r="L171" s="2">
        <v>4.9000000000000004</v>
      </c>
      <c r="M171" s="2">
        <v>739831.73</v>
      </c>
      <c r="N171" s="2">
        <v>119490.21</v>
      </c>
    </row>
    <row r="172" spans="1:14" x14ac:dyDescent="0.45">
      <c r="A172" s="2" t="s">
        <v>103</v>
      </c>
      <c r="B172" s="3">
        <v>45689</v>
      </c>
      <c r="C172" s="2" t="s">
        <v>54</v>
      </c>
      <c r="D172" s="2" t="s">
        <v>55</v>
      </c>
      <c r="E172" s="2">
        <v>32834.480000000003</v>
      </c>
      <c r="F172" s="2">
        <v>7576</v>
      </c>
      <c r="G172" s="2">
        <v>9.9000000000000005E-2</v>
      </c>
      <c r="H172" s="2">
        <v>15</v>
      </c>
      <c r="I172" s="2">
        <v>84.1</v>
      </c>
      <c r="J172" s="2">
        <v>3.48</v>
      </c>
      <c r="K172" s="2">
        <v>0</v>
      </c>
      <c r="L172" s="2">
        <v>5</v>
      </c>
      <c r="M172" s="2">
        <v>593637.14</v>
      </c>
      <c r="N172" s="2">
        <v>106648.14</v>
      </c>
    </row>
    <row r="173" spans="1:14" x14ac:dyDescent="0.45">
      <c r="A173" s="2" t="s">
        <v>103</v>
      </c>
      <c r="B173" s="3">
        <v>45717</v>
      </c>
      <c r="C173" s="2" t="s">
        <v>54</v>
      </c>
      <c r="D173" s="2" t="s">
        <v>55</v>
      </c>
      <c r="E173" s="2">
        <v>50825.08</v>
      </c>
      <c r="F173" s="2">
        <v>8949</v>
      </c>
      <c r="G173" s="2">
        <v>0.157</v>
      </c>
      <c r="H173" s="2">
        <v>21</v>
      </c>
      <c r="I173" s="2">
        <v>84.7</v>
      </c>
      <c r="J173" s="2">
        <v>7.73</v>
      </c>
      <c r="K173" s="2">
        <v>0</v>
      </c>
      <c r="L173" s="2">
        <v>4.9000000000000004</v>
      </c>
      <c r="M173" s="2">
        <v>769702.76</v>
      </c>
      <c r="N173" s="2">
        <v>158697</v>
      </c>
    </row>
    <row r="174" spans="1:14" x14ac:dyDescent="0.45">
      <c r="A174" s="2" t="s">
        <v>103</v>
      </c>
      <c r="B174" s="3">
        <v>45748</v>
      </c>
      <c r="C174" s="2" t="s">
        <v>54</v>
      </c>
      <c r="D174" s="2" t="s">
        <v>55</v>
      </c>
      <c r="E174" s="2">
        <v>36606.51</v>
      </c>
      <c r="F174" s="2">
        <v>7671</v>
      </c>
      <c r="G174" s="2">
        <v>0.11799999999999999</v>
      </c>
      <c r="H174" s="2">
        <v>18</v>
      </c>
      <c r="I174" s="2">
        <v>89.8</v>
      </c>
      <c r="J174" s="2">
        <v>0.25</v>
      </c>
      <c r="K174" s="2">
        <v>0</v>
      </c>
      <c r="L174" s="2">
        <v>4.4000000000000004</v>
      </c>
      <c r="M174" s="2">
        <v>679731.57</v>
      </c>
      <c r="N174" s="2">
        <v>121546.42</v>
      </c>
    </row>
    <row r="175" spans="1:14" x14ac:dyDescent="0.45">
      <c r="A175" s="2" t="s">
        <v>104</v>
      </c>
      <c r="B175" s="3">
        <v>45658</v>
      </c>
      <c r="C175" s="2" t="s">
        <v>54</v>
      </c>
      <c r="D175" s="2" t="s">
        <v>55</v>
      </c>
      <c r="E175" s="2">
        <v>65237.79</v>
      </c>
      <c r="F175" s="2">
        <v>8741</v>
      </c>
      <c r="G175" s="2">
        <v>0.157</v>
      </c>
      <c r="H175" s="2">
        <v>20</v>
      </c>
      <c r="I175" s="2">
        <v>94.4</v>
      </c>
      <c r="J175" s="2">
        <v>6.43</v>
      </c>
      <c r="K175" s="2">
        <v>0</v>
      </c>
      <c r="L175" s="2">
        <v>3.3</v>
      </c>
      <c r="M175" s="2">
        <v>780344.18</v>
      </c>
      <c r="N175" s="2">
        <v>118239.09</v>
      </c>
    </row>
    <row r="176" spans="1:14" x14ac:dyDescent="0.45">
      <c r="A176" s="2" t="s">
        <v>104</v>
      </c>
      <c r="B176" s="3">
        <v>45689</v>
      </c>
      <c r="C176" s="2" t="s">
        <v>54</v>
      </c>
      <c r="D176" s="2" t="s">
        <v>55</v>
      </c>
      <c r="E176" s="2">
        <v>43645.98</v>
      </c>
      <c r="F176" s="2">
        <v>9480</v>
      </c>
      <c r="G176" s="2">
        <v>0.109</v>
      </c>
      <c r="H176" s="2">
        <v>22</v>
      </c>
      <c r="I176" s="2">
        <v>89</v>
      </c>
      <c r="J176" s="2">
        <v>2.11</v>
      </c>
      <c r="K176" s="2">
        <v>0</v>
      </c>
      <c r="L176" s="2">
        <v>3.1</v>
      </c>
      <c r="M176" s="2">
        <v>721364.11</v>
      </c>
      <c r="N176" s="2">
        <v>147272.81</v>
      </c>
    </row>
    <row r="177" spans="1:14" x14ac:dyDescent="0.45">
      <c r="A177" s="2" t="s">
        <v>104</v>
      </c>
      <c r="B177" s="3">
        <v>45717</v>
      </c>
      <c r="C177" s="2" t="s">
        <v>54</v>
      </c>
      <c r="D177" s="2" t="s">
        <v>55</v>
      </c>
      <c r="E177" s="2">
        <v>68040.149999999994</v>
      </c>
      <c r="F177" s="2">
        <v>9826</v>
      </c>
      <c r="G177" s="2">
        <v>0.125</v>
      </c>
      <c r="H177" s="2">
        <v>20</v>
      </c>
      <c r="I177" s="2">
        <v>83.9</v>
      </c>
      <c r="J177" s="2">
        <v>9.1199999999999992</v>
      </c>
      <c r="K177" s="2">
        <v>0</v>
      </c>
      <c r="L177" s="2">
        <v>3.6</v>
      </c>
      <c r="M177" s="2">
        <v>758138.29</v>
      </c>
      <c r="N177" s="2">
        <v>132975.26</v>
      </c>
    </row>
    <row r="178" spans="1:14" x14ac:dyDescent="0.45">
      <c r="A178" s="2" t="s">
        <v>104</v>
      </c>
      <c r="B178" s="3">
        <v>45748</v>
      </c>
      <c r="C178" s="2" t="s">
        <v>54</v>
      </c>
      <c r="D178" s="2" t="s">
        <v>55</v>
      </c>
      <c r="E178" s="2">
        <v>63043.94</v>
      </c>
      <c r="F178" s="2">
        <v>10402</v>
      </c>
      <c r="G178" s="2">
        <v>0.159</v>
      </c>
      <c r="H178" s="2">
        <v>23</v>
      </c>
      <c r="I178" s="2">
        <v>93.9</v>
      </c>
      <c r="J178" s="2">
        <v>2.71</v>
      </c>
      <c r="K178" s="2">
        <v>0</v>
      </c>
      <c r="L178" s="2">
        <v>3.1</v>
      </c>
      <c r="M178" s="2">
        <v>804264</v>
      </c>
      <c r="N178" s="2">
        <v>167117.91</v>
      </c>
    </row>
    <row r="179" spans="1:14" x14ac:dyDescent="0.45">
      <c r="A179" s="2" t="s">
        <v>105</v>
      </c>
      <c r="B179" s="3">
        <v>45658</v>
      </c>
      <c r="C179" s="2" t="s">
        <v>66</v>
      </c>
      <c r="D179" s="2" t="s">
        <v>60</v>
      </c>
      <c r="E179" s="2">
        <v>67494.09</v>
      </c>
      <c r="F179" s="2">
        <v>12361</v>
      </c>
      <c r="G179" s="2">
        <v>4.5999999999999999E-2</v>
      </c>
      <c r="H179" s="2">
        <v>24</v>
      </c>
      <c r="I179" s="2">
        <v>76.599999999999994</v>
      </c>
      <c r="J179" s="2">
        <v>3.65</v>
      </c>
      <c r="K179" s="2">
        <v>1</v>
      </c>
      <c r="L179" s="2">
        <v>3.7</v>
      </c>
      <c r="M179" s="2">
        <v>887537.75</v>
      </c>
      <c r="N179" s="2">
        <v>160362.92000000001</v>
      </c>
    </row>
    <row r="180" spans="1:14" x14ac:dyDescent="0.45">
      <c r="A180" s="2" t="s">
        <v>105</v>
      </c>
      <c r="B180" s="3">
        <v>45689</v>
      </c>
      <c r="C180" s="2" t="s">
        <v>66</v>
      </c>
      <c r="D180" s="2" t="s">
        <v>60</v>
      </c>
      <c r="E180" s="2">
        <v>29389.32</v>
      </c>
      <c r="F180" s="2">
        <v>7925</v>
      </c>
      <c r="G180" s="2">
        <v>0.17699999999999999</v>
      </c>
      <c r="H180" s="2">
        <v>21</v>
      </c>
      <c r="I180" s="2">
        <v>90.9</v>
      </c>
      <c r="J180" s="2">
        <v>7.86</v>
      </c>
      <c r="K180" s="2">
        <v>0</v>
      </c>
      <c r="L180" s="2">
        <v>4</v>
      </c>
      <c r="M180" s="2">
        <v>783582</v>
      </c>
      <c r="N180" s="2">
        <v>130670.93</v>
      </c>
    </row>
    <row r="181" spans="1:14" x14ac:dyDescent="0.45">
      <c r="A181" s="2" t="s">
        <v>105</v>
      </c>
      <c r="B181" s="3">
        <v>45717</v>
      </c>
      <c r="C181" s="2" t="s">
        <v>66</v>
      </c>
      <c r="D181" s="2" t="s">
        <v>60</v>
      </c>
      <c r="E181" s="2">
        <v>40535.089999999997</v>
      </c>
      <c r="F181" s="2">
        <v>8870</v>
      </c>
      <c r="G181" s="2">
        <v>4.1000000000000002E-2</v>
      </c>
      <c r="H181" s="2">
        <v>21</v>
      </c>
      <c r="I181" s="2">
        <v>86.6</v>
      </c>
      <c r="J181" s="2">
        <v>0.3</v>
      </c>
      <c r="K181" s="2">
        <v>0</v>
      </c>
      <c r="L181" s="2">
        <v>4.0999999999999996</v>
      </c>
      <c r="M181" s="2">
        <v>781955.52</v>
      </c>
      <c r="N181" s="2">
        <v>152578.71</v>
      </c>
    </row>
    <row r="182" spans="1:14" x14ac:dyDescent="0.45">
      <c r="A182" s="2" t="s">
        <v>105</v>
      </c>
      <c r="B182" s="3">
        <v>45748</v>
      </c>
      <c r="C182" s="2" t="s">
        <v>66</v>
      </c>
      <c r="D182" s="2" t="s">
        <v>60</v>
      </c>
      <c r="E182" s="2">
        <v>74881.56</v>
      </c>
      <c r="F182" s="2">
        <v>9999</v>
      </c>
      <c r="G182" s="2">
        <v>1.2999999999999999E-2</v>
      </c>
      <c r="H182" s="2">
        <v>20</v>
      </c>
      <c r="I182" s="2">
        <v>89.6</v>
      </c>
      <c r="J182" s="2">
        <v>8.44</v>
      </c>
      <c r="K182" s="2">
        <v>0</v>
      </c>
      <c r="L182" s="2">
        <v>4.0999999999999996</v>
      </c>
      <c r="M182" s="2">
        <v>898031.04</v>
      </c>
      <c r="N182" s="2">
        <v>138666.5</v>
      </c>
    </row>
    <row r="183" spans="1:14" x14ac:dyDescent="0.45">
      <c r="A183" s="2" t="s">
        <v>106</v>
      </c>
      <c r="B183" s="3">
        <v>45658</v>
      </c>
      <c r="C183" s="2" t="s">
        <v>66</v>
      </c>
      <c r="D183" s="2" t="s">
        <v>55</v>
      </c>
      <c r="E183" s="2">
        <v>68491.11</v>
      </c>
      <c r="F183" s="2">
        <v>11154</v>
      </c>
      <c r="G183" s="2">
        <v>1E-3</v>
      </c>
      <c r="H183" s="2">
        <v>24</v>
      </c>
      <c r="I183" s="2">
        <v>89.4</v>
      </c>
      <c r="J183" s="2">
        <v>5.27</v>
      </c>
      <c r="K183" s="2">
        <v>1</v>
      </c>
      <c r="L183" s="2">
        <v>3.9</v>
      </c>
      <c r="M183" s="2">
        <v>855341.28</v>
      </c>
      <c r="N183" s="2">
        <v>175823.8</v>
      </c>
    </row>
    <row r="184" spans="1:14" x14ac:dyDescent="0.45">
      <c r="A184" s="2" t="s">
        <v>106</v>
      </c>
      <c r="B184" s="3">
        <v>45689</v>
      </c>
      <c r="C184" s="2" t="s">
        <v>66</v>
      </c>
      <c r="D184" s="2" t="s">
        <v>55</v>
      </c>
      <c r="E184" s="2">
        <v>45209.25</v>
      </c>
      <c r="F184" s="2">
        <v>9287</v>
      </c>
      <c r="G184" s="2">
        <v>0.14099999999999999</v>
      </c>
      <c r="H184" s="2">
        <v>22</v>
      </c>
      <c r="I184" s="2">
        <v>86.4</v>
      </c>
      <c r="J184" s="2">
        <v>13.22</v>
      </c>
      <c r="K184" s="2">
        <v>0</v>
      </c>
      <c r="L184" s="2">
        <v>3.6</v>
      </c>
      <c r="M184" s="2">
        <v>751393.88</v>
      </c>
      <c r="N184" s="2">
        <v>91480.320000000007</v>
      </c>
    </row>
    <row r="185" spans="1:14" x14ac:dyDescent="0.45">
      <c r="A185" s="2" t="s">
        <v>106</v>
      </c>
      <c r="B185" s="3">
        <v>45717</v>
      </c>
      <c r="C185" s="2" t="s">
        <v>66</v>
      </c>
      <c r="D185" s="2" t="s">
        <v>55</v>
      </c>
      <c r="E185" s="2">
        <v>63010.23</v>
      </c>
      <c r="F185" s="2">
        <v>9812</v>
      </c>
      <c r="G185" s="2">
        <v>0.113</v>
      </c>
      <c r="H185" s="2">
        <v>24</v>
      </c>
      <c r="I185" s="2">
        <v>76.8</v>
      </c>
      <c r="J185" s="2">
        <v>1.02</v>
      </c>
      <c r="K185" s="2">
        <v>1</v>
      </c>
      <c r="L185" s="2">
        <v>3.8</v>
      </c>
      <c r="M185" s="2">
        <v>761077.08</v>
      </c>
      <c r="N185" s="2">
        <v>113605.93</v>
      </c>
    </row>
    <row r="186" spans="1:14" x14ac:dyDescent="0.45">
      <c r="A186" s="2" t="s">
        <v>106</v>
      </c>
      <c r="B186" s="3">
        <v>45748</v>
      </c>
      <c r="C186" s="2" t="s">
        <v>66</v>
      </c>
      <c r="D186" s="2" t="s">
        <v>55</v>
      </c>
      <c r="E186" s="2">
        <v>57948.88</v>
      </c>
      <c r="F186" s="2">
        <v>10741</v>
      </c>
      <c r="G186" s="2">
        <v>7.0000000000000007E-2</v>
      </c>
      <c r="H186" s="2">
        <v>25</v>
      </c>
      <c r="I186" s="2">
        <v>90.1</v>
      </c>
      <c r="J186" s="2">
        <v>4.03</v>
      </c>
      <c r="K186" s="2">
        <v>0</v>
      </c>
      <c r="L186" s="2">
        <v>3.1</v>
      </c>
      <c r="M186" s="2">
        <v>819660.59</v>
      </c>
      <c r="N186" s="2">
        <v>172699.95</v>
      </c>
    </row>
    <row r="187" spans="1:14" x14ac:dyDescent="0.45">
      <c r="A187" s="2" t="s">
        <v>107</v>
      </c>
      <c r="B187" s="3">
        <v>45658</v>
      </c>
      <c r="C187" s="2" t="s">
        <v>59</v>
      </c>
      <c r="D187" s="2" t="s">
        <v>57</v>
      </c>
      <c r="E187" s="2">
        <v>71941.62</v>
      </c>
      <c r="F187" s="2">
        <v>6084</v>
      </c>
      <c r="G187" s="2">
        <v>7.1999999999999995E-2</v>
      </c>
      <c r="H187" s="2">
        <v>13</v>
      </c>
      <c r="I187" s="2">
        <v>93.7</v>
      </c>
      <c r="J187" s="2">
        <v>2.34</v>
      </c>
      <c r="K187" s="2">
        <v>0</v>
      </c>
      <c r="L187" s="2">
        <v>4.4000000000000004</v>
      </c>
      <c r="M187" s="2">
        <v>681855.56</v>
      </c>
      <c r="N187" s="2">
        <v>117645.61</v>
      </c>
    </row>
    <row r="188" spans="1:14" x14ac:dyDescent="0.45">
      <c r="A188" s="2" t="s">
        <v>107</v>
      </c>
      <c r="B188" s="3">
        <v>45689</v>
      </c>
      <c r="C188" s="2" t="s">
        <v>59</v>
      </c>
      <c r="D188" s="2" t="s">
        <v>57</v>
      </c>
      <c r="E188" s="2">
        <v>57147.88</v>
      </c>
      <c r="F188" s="2">
        <v>5252</v>
      </c>
      <c r="G188" s="2">
        <v>0.161</v>
      </c>
      <c r="H188" s="2">
        <v>15</v>
      </c>
      <c r="I188" s="2">
        <v>95.5</v>
      </c>
      <c r="J188" s="2">
        <v>8.51</v>
      </c>
      <c r="K188" s="2">
        <v>0</v>
      </c>
      <c r="L188" s="2">
        <v>4.4000000000000004</v>
      </c>
      <c r="M188" s="2">
        <v>678311.17</v>
      </c>
      <c r="N188" s="2">
        <v>132029.76000000001</v>
      </c>
    </row>
    <row r="189" spans="1:14" x14ac:dyDescent="0.45">
      <c r="A189" s="2" t="s">
        <v>107</v>
      </c>
      <c r="B189" s="3">
        <v>45717</v>
      </c>
      <c r="C189" s="2" t="s">
        <v>59</v>
      </c>
      <c r="D189" s="2" t="s">
        <v>57</v>
      </c>
      <c r="E189" s="2">
        <v>48031.74</v>
      </c>
      <c r="F189" s="2">
        <v>6516</v>
      </c>
      <c r="G189" s="2">
        <v>6.7000000000000004E-2</v>
      </c>
      <c r="H189" s="2">
        <v>14</v>
      </c>
      <c r="I189" s="2">
        <v>99</v>
      </c>
      <c r="J189" s="2">
        <v>0.48</v>
      </c>
      <c r="K189" s="2">
        <v>1</v>
      </c>
      <c r="L189" s="2">
        <v>4.3</v>
      </c>
      <c r="M189" s="2">
        <v>765906.95</v>
      </c>
      <c r="N189" s="2">
        <v>114005.9</v>
      </c>
    </row>
    <row r="190" spans="1:14" x14ac:dyDescent="0.45">
      <c r="A190" s="2" t="s">
        <v>107</v>
      </c>
      <c r="B190" s="3">
        <v>45748</v>
      </c>
      <c r="C190" s="2" t="s">
        <v>59</v>
      </c>
      <c r="D190" s="2" t="s">
        <v>57</v>
      </c>
      <c r="E190" s="2">
        <v>72784.800000000003</v>
      </c>
      <c r="F190" s="2">
        <v>7932</v>
      </c>
      <c r="G190" s="2">
        <v>9.4E-2</v>
      </c>
      <c r="H190" s="2">
        <v>20</v>
      </c>
      <c r="I190" s="2">
        <v>74.900000000000006</v>
      </c>
      <c r="J190" s="2">
        <v>13.62</v>
      </c>
      <c r="K190" s="2">
        <v>0</v>
      </c>
      <c r="L190" s="2">
        <v>4.2</v>
      </c>
      <c r="M190" s="2">
        <v>712546.38</v>
      </c>
      <c r="N190" s="2">
        <v>101480.04</v>
      </c>
    </row>
    <row r="191" spans="1:14" x14ac:dyDescent="0.45">
      <c r="A191" s="2" t="s">
        <v>108</v>
      </c>
      <c r="B191" s="3">
        <v>45658</v>
      </c>
      <c r="C191" s="2" t="s">
        <v>54</v>
      </c>
      <c r="D191" s="2" t="s">
        <v>57</v>
      </c>
      <c r="E191" s="2">
        <v>71641.899999999994</v>
      </c>
      <c r="F191" s="2">
        <v>3506</v>
      </c>
      <c r="G191" s="2">
        <v>0</v>
      </c>
      <c r="H191" s="2">
        <v>11</v>
      </c>
      <c r="I191" s="2">
        <v>86.4</v>
      </c>
      <c r="J191" s="2">
        <v>7.77</v>
      </c>
      <c r="K191" s="2">
        <v>0</v>
      </c>
      <c r="L191" s="2">
        <v>4.0999999999999996</v>
      </c>
      <c r="M191" s="2">
        <v>625993.82999999996</v>
      </c>
      <c r="N191" s="2">
        <v>98960.320000000007</v>
      </c>
    </row>
    <row r="192" spans="1:14" x14ac:dyDescent="0.45">
      <c r="A192" s="2" t="s">
        <v>108</v>
      </c>
      <c r="B192" s="3">
        <v>45689</v>
      </c>
      <c r="C192" s="2" t="s">
        <v>54</v>
      </c>
      <c r="D192" s="2" t="s">
        <v>57</v>
      </c>
      <c r="E192" s="2">
        <v>55788.61</v>
      </c>
      <c r="F192" s="2">
        <v>2312</v>
      </c>
      <c r="G192" s="2">
        <v>5.8000000000000003E-2</v>
      </c>
      <c r="H192" s="2">
        <v>10</v>
      </c>
      <c r="I192" s="2">
        <v>91.3</v>
      </c>
      <c r="J192" s="2">
        <v>1.99</v>
      </c>
      <c r="K192" s="2">
        <v>0</v>
      </c>
      <c r="L192" s="2">
        <v>3.8</v>
      </c>
      <c r="M192" s="2">
        <v>550962.93000000005</v>
      </c>
      <c r="N192" s="2">
        <v>97144.58</v>
      </c>
    </row>
    <row r="193" spans="1:14" x14ac:dyDescent="0.45">
      <c r="A193" s="2" t="s">
        <v>108</v>
      </c>
      <c r="B193" s="3">
        <v>45717</v>
      </c>
      <c r="C193" s="2" t="s">
        <v>54</v>
      </c>
      <c r="D193" s="2" t="s">
        <v>57</v>
      </c>
      <c r="E193" s="2">
        <v>37705.879999999997</v>
      </c>
      <c r="F193" s="2">
        <v>1268</v>
      </c>
      <c r="G193" s="2">
        <v>0.25900000000000001</v>
      </c>
      <c r="H193" s="2">
        <v>9</v>
      </c>
      <c r="I193" s="2">
        <v>84.1</v>
      </c>
      <c r="J193" s="2">
        <v>4.7699999999999996</v>
      </c>
      <c r="K193" s="2">
        <v>0</v>
      </c>
      <c r="L193" s="2">
        <v>3.8</v>
      </c>
      <c r="M193" s="2">
        <v>443275.59</v>
      </c>
      <c r="N193" s="2">
        <v>53544.36</v>
      </c>
    </row>
    <row r="194" spans="1:14" x14ac:dyDescent="0.45">
      <c r="A194" s="2" t="s">
        <v>108</v>
      </c>
      <c r="B194" s="3">
        <v>45748</v>
      </c>
      <c r="C194" s="2" t="s">
        <v>54</v>
      </c>
      <c r="D194" s="2" t="s">
        <v>57</v>
      </c>
      <c r="E194" s="2">
        <v>54966.18</v>
      </c>
      <c r="F194" s="2">
        <v>4423</v>
      </c>
      <c r="G194" s="2">
        <v>0.186</v>
      </c>
      <c r="H194" s="2">
        <v>13</v>
      </c>
      <c r="I194" s="2">
        <v>88.7</v>
      </c>
      <c r="J194" s="2">
        <v>0.2</v>
      </c>
      <c r="K194" s="2">
        <v>0</v>
      </c>
      <c r="L194" s="2">
        <v>4.4000000000000004</v>
      </c>
      <c r="M194" s="2">
        <v>554012.06999999995</v>
      </c>
      <c r="N194" s="2">
        <v>81101.62</v>
      </c>
    </row>
    <row r="195" spans="1:14" x14ac:dyDescent="0.45">
      <c r="A195" s="2" t="s">
        <v>109</v>
      </c>
      <c r="B195" s="3">
        <v>45658</v>
      </c>
      <c r="C195" s="2" t="s">
        <v>66</v>
      </c>
      <c r="D195" s="2" t="s">
        <v>55</v>
      </c>
      <c r="E195" s="2">
        <v>81796.740000000005</v>
      </c>
      <c r="F195" s="2">
        <v>6177</v>
      </c>
      <c r="G195" s="2">
        <v>0.16400000000000001</v>
      </c>
      <c r="H195" s="2">
        <v>14</v>
      </c>
      <c r="I195" s="2">
        <v>87.9</v>
      </c>
      <c r="J195" s="2">
        <v>0.53</v>
      </c>
      <c r="K195" s="2">
        <v>0</v>
      </c>
      <c r="L195" s="2">
        <v>3.2</v>
      </c>
      <c r="M195" s="2">
        <v>643428.85</v>
      </c>
      <c r="N195" s="2">
        <v>94477.63</v>
      </c>
    </row>
    <row r="196" spans="1:14" x14ac:dyDescent="0.45">
      <c r="A196" s="2" t="s">
        <v>109</v>
      </c>
      <c r="B196" s="3">
        <v>45689</v>
      </c>
      <c r="C196" s="2" t="s">
        <v>66</v>
      </c>
      <c r="D196" s="2" t="s">
        <v>55</v>
      </c>
      <c r="E196" s="2">
        <v>51133.43</v>
      </c>
      <c r="F196" s="2">
        <v>5150</v>
      </c>
      <c r="G196" s="2">
        <v>0.15</v>
      </c>
      <c r="H196" s="2">
        <v>12</v>
      </c>
      <c r="I196" s="2">
        <v>88.5</v>
      </c>
      <c r="J196" s="2">
        <v>1.54</v>
      </c>
      <c r="K196" s="2">
        <v>0</v>
      </c>
      <c r="L196" s="2">
        <v>3.2</v>
      </c>
      <c r="M196" s="2">
        <v>611924.27</v>
      </c>
      <c r="N196" s="2">
        <v>115488.75</v>
      </c>
    </row>
    <row r="197" spans="1:14" x14ac:dyDescent="0.45">
      <c r="A197" s="2" t="s">
        <v>109</v>
      </c>
      <c r="B197" s="3">
        <v>45717</v>
      </c>
      <c r="C197" s="2" t="s">
        <v>66</v>
      </c>
      <c r="D197" s="2" t="s">
        <v>55</v>
      </c>
      <c r="E197" s="2">
        <v>40220.18</v>
      </c>
      <c r="F197" s="2">
        <v>3783</v>
      </c>
      <c r="G197" s="2">
        <v>8.8999999999999996E-2</v>
      </c>
      <c r="H197" s="2">
        <v>14</v>
      </c>
      <c r="I197" s="2">
        <v>86.6</v>
      </c>
      <c r="J197" s="2">
        <v>3.63</v>
      </c>
      <c r="K197" s="2">
        <v>0</v>
      </c>
      <c r="L197" s="2">
        <v>3.7</v>
      </c>
      <c r="M197" s="2">
        <v>559422.02</v>
      </c>
      <c r="N197" s="2">
        <v>73528.740000000005</v>
      </c>
    </row>
    <row r="198" spans="1:14" x14ac:dyDescent="0.45">
      <c r="A198" s="2" t="s">
        <v>109</v>
      </c>
      <c r="B198" s="3">
        <v>45748</v>
      </c>
      <c r="C198" s="2" t="s">
        <v>66</v>
      </c>
      <c r="D198" s="2" t="s">
        <v>55</v>
      </c>
      <c r="E198" s="2">
        <v>41657.64</v>
      </c>
      <c r="F198" s="2">
        <v>3135</v>
      </c>
      <c r="G198" s="2">
        <v>0.22900000000000001</v>
      </c>
      <c r="H198" s="2">
        <v>7</v>
      </c>
      <c r="I198" s="2">
        <v>85.4</v>
      </c>
      <c r="J198" s="2">
        <v>13.48</v>
      </c>
      <c r="K198" s="2">
        <v>0</v>
      </c>
      <c r="L198" s="2"/>
      <c r="M198" s="2">
        <v>449465.06</v>
      </c>
      <c r="N198" s="2">
        <v>65694.78</v>
      </c>
    </row>
    <row r="199" spans="1:14" x14ac:dyDescent="0.45">
      <c r="A199" s="2" t="s">
        <v>110</v>
      </c>
      <c r="B199" s="3">
        <v>45658</v>
      </c>
      <c r="C199" s="2" t="s">
        <v>59</v>
      </c>
      <c r="D199" s="2" t="s">
        <v>55</v>
      </c>
      <c r="E199" s="2">
        <v>71851.45</v>
      </c>
      <c r="F199" s="2">
        <v>4970</v>
      </c>
      <c r="G199" s="2">
        <v>9.8000000000000004E-2</v>
      </c>
      <c r="H199" s="2">
        <v>11</v>
      </c>
      <c r="I199" s="2">
        <v>89.6</v>
      </c>
      <c r="J199" s="2">
        <v>0.2</v>
      </c>
      <c r="K199" s="2">
        <v>0</v>
      </c>
      <c r="L199" s="2">
        <v>4.2</v>
      </c>
      <c r="M199" s="2">
        <v>691447.43</v>
      </c>
      <c r="N199" s="2">
        <v>114077.69</v>
      </c>
    </row>
    <row r="200" spans="1:14" x14ac:dyDescent="0.45">
      <c r="A200" s="2" t="s">
        <v>110</v>
      </c>
      <c r="B200" s="3">
        <v>45689</v>
      </c>
      <c r="C200" s="2" t="s">
        <v>59</v>
      </c>
      <c r="D200" s="2" t="s">
        <v>55</v>
      </c>
      <c r="E200" s="2">
        <v>54002.83</v>
      </c>
      <c r="F200" s="2">
        <v>4366</v>
      </c>
      <c r="G200" s="2">
        <v>2.7E-2</v>
      </c>
      <c r="H200" s="2">
        <v>15</v>
      </c>
      <c r="I200" s="2">
        <v>90.6</v>
      </c>
      <c r="J200" s="2">
        <v>12.82</v>
      </c>
      <c r="K200" s="2">
        <v>0</v>
      </c>
      <c r="L200" s="2">
        <v>4.5999999999999996</v>
      </c>
      <c r="M200" s="2">
        <v>574066.61</v>
      </c>
      <c r="N200" s="2">
        <v>124674.67</v>
      </c>
    </row>
    <row r="201" spans="1:14" x14ac:dyDescent="0.45">
      <c r="A201" s="2" t="s">
        <v>110</v>
      </c>
      <c r="B201" s="3">
        <v>45717</v>
      </c>
      <c r="C201" s="2" t="s">
        <v>59</v>
      </c>
      <c r="D201" s="2" t="s">
        <v>55</v>
      </c>
      <c r="E201" s="2">
        <v>54479.33</v>
      </c>
      <c r="F201" s="2">
        <v>5012</v>
      </c>
      <c r="G201" s="2">
        <v>0.28399999999999997</v>
      </c>
      <c r="H201" s="2">
        <v>13</v>
      </c>
      <c r="I201" s="2">
        <v>86</v>
      </c>
      <c r="J201" s="2">
        <v>2.2400000000000002</v>
      </c>
      <c r="K201" s="2">
        <v>1</v>
      </c>
      <c r="L201" s="2">
        <v>4.3</v>
      </c>
      <c r="M201" s="2">
        <v>578949.84</v>
      </c>
      <c r="N201" s="2">
        <v>80253.649999999994</v>
      </c>
    </row>
    <row r="202" spans="1:14" x14ac:dyDescent="0.45">
      <c r="A202" s="2" t="s">
        <v>110</v>
      </c>
      <c r="B202" s="3">
        <v>45748</v>
      </c>
      <c r="C202" s="2" t="s">
        <v>59</v>
      </c>
      <c r="D202" s="2" t="s">
        <v>55</v>
      </c>
      <c r="E202" s="2">
        <v>61391.8</v>
      </c>
      <c r="F202" s="2">
        <v>5575</v>
      </c>
      <c r="G202" s="2">
        <v>0.189</v>
      </c>
      <c r="H202" s="2">
        <v>18</v>
      </c>
      <c r="I202" s="2">
        <v>90</v>
      </c>
      <c r="J202" s="2">
        <v>1.8</v>
      </c>
      <c r="K202" s="2">
        <v>0</v>
      </c>
      <c r="L202" s="2">
        <v>4.8</v>
      </c>
      <c r="M202" s="2">
        <v>735786.64</v>
      </c>
      <c r="N202" s="2">
        <v>126540.66</v>
      </c>
    </row>
    <row r="203" spans="1:14" x14ac:dyDescent="0.45">
      <c r="A203" s="2" t="s">
        <v>111</v>
      </c>
      <c r="B203" s="3">
        <v>45658</v>
      </c>
      <c r="C203" s="2" t="s">
        <v>54</v>
      </c>
      <c r="D203" s="2" t="s">
        <v>60</v>
      </c>
      <c r="E203" s="2">
        <v>22312.93</v>
      </c>
      <c r="F203" s="2">
        <v>5955</v>
      </c>
      <c r="G203" s="2">
        <v>0.123</v>
      </c>
      <c r="H203" s="2">
        <v>13</v>
      </c>
      <c r="I203" s="2">
        <v>84.2</v>
      </c>
      <c r="J203" s="2">
        <v>0.41</v>
      </c>
      <c r="K203" s="2">
        <v>1</v>
      </c>
      <c r="L203" s="2">
        <v>4.5999999999999996</v>
      </c>
      <c r="M203" s="2">
        <v>598904.9</v>
      </c>
      <c r="N203" s="2">
        <v>72861</v>
      </c>
    </row>
    <row r="204" spans="1:14" x14ac:dyDescent="0.45">
      <c r="A204" s="2" t="s">
        <v>111</v>
      </c>
      <c r="B204" s="3">
        <v>45689</v>
      </c>
      <c r="C204" s="2" t="s">
        <v>54</v>
      </c>
      <c r="D204" s="2" t="s">
        <v>60</v>
      </c>
      <c r="E204" s="2">
        <v>78111.97</v>
      </c>
      <c r="F204" s="2">
        <v>6389</v>
      </c>
      <c r="G204" s="2">
        <v>0.15</v>
      </c>
      <c r="H204" s="2">
        <v>13</v>
      </c>
      <c r="I204" s="2">
        <v>83.9</v>
      </c>
      <c r="J204" s="2">
        <v>3.05</v>
      </c>
      <c r="K204" s="2">
        <v>0</v>
      </c>
      <c r="L204" s="2">
        <v>4.8</v>
      </c>
      <c r="M204" s="2">
        <v>787715.51</v>
      </c>
      <c r="N204" s="2">
        <v>128969.62</v>
      </c>
    </row>
    <row r="205" spans="1:14" x14ac:dyDescent="0.45">
      <c r="A205" s="2" t="s">
        <v>111</v>
      </c>
      <c r="B205" s="3">
        <v>45717</v>
      </c>
      <c r="C205" s="2" t="s">
        <v>54</v>
      </c>
      <c r="D205" s="2" t="s">
        <v>60</v>
      </c>
      <c r="E205" s="2">
        <v>35203.230000000003</v>
      </c>
      <c r="F205" s="2">
        <v>6896</v>
      </c>
      <c r="G205" s="2">
        <v>3.2000000000000001E-2</v>
      </c>
      <c r="H205" s="2">
        <v>14</v>
      </c>
      <c r="I205" s="2">
        <v>80.8</v>
      </c>
      <c r="J205" s="2">
        <v>8.44</v>
      </c>
      <c r="K205" s="2">
        <v>1</v>
      </c>
      <c r="L205" s="2">
        <v>5</v>
      </c>
      <c r="M205" s="2">
        <v>607084.92000000004</v>
      </c>
      <c r="N205" s="2">
        <v>98558.49</v>
      </c>
    </row>
    <row r="206" spans="1:14" x14ac:dyDescent="0.45">
      <c r="A206" s="2" t="s">
        <v>111</v>
      </c>
      <c r="B206" s="3">
        <v>45748</v>
      </c>
      <c r="C206" s="2" t="s">
        <v>54</v>
      </c>
      <c r="D206" s="2" t="s">
        <v>60</v>
      </c>
      <c r="E206" s="2">
        <v>64104.28</v>
      </c>
      <c r="F206" s="2">
        <v>6015</v>
      </c>
      <c r="G206" s="2">
        <v>0.127</v>
      </c>
      <c r="H206" s="2">
        <v>15</v>
      </c>
      <c r="I206" s="2">
        <v>88.7</v>
      </c>
      <c r="J206" s="2">
        <v>0.78</v>
      </c>
      <c r="K206" s="2">
        <v>0</v>
      </c>
      <c r="L206" s="2">
        <v>4</v>
      </c>
      <c r="M206" s="2">
        <v>650795.49</v>
      </c>
      <c r="N206" s="2">
        <v>103035.89</v>
      </c>
    </row>
    <row r="207" spans="1:14" x14ac:dyDescent="0.45">
      <c r="A207" s="2" t="s">
        <v>112</v>
      </c>
      <c r="B207" s="3">
        <v>45658</v>
      </c>
      <c r="C207" s="2" t="s">
        <v>54</v>
      </c>
      <c r="D207" s="2" t="s">
        <v>67</v>
      </c>
      <c r="E207" s="2">
        <v>92090.14</v>
      </c>
      <c r="F207" s="2">
        <v>9476</v>
      </c>
      <c r="G207" s="2">
        <v>7.0000000000000007E-2</v>
      </c>
      <c r="H207" s="2">
        <v>24</v>
      </c>
      <c r="I207" s="2">
        <v>94.3</v>
      </c>
      <c r="J207" s="2">
        <v>0.87</v>
      </c>
      <c r="K207" s="2">
        <v>0</v>
      </c>
      <c r="L207" s="2">
        <v>3.7</v>
      </c>
      <c r="M207" s="2">
        <v>825060.52</v>
      </c>
      <c r="N207" s="2">
        <v>143613.15</v>
      </c>
    </row>
    <row r="208" spans="1:14" x14ac:dyDescent="0.45">
      <c r="A208" s="2" t="s">
        <v>112</v>
      </c>
      <c r="B208" s="3">
        <v>45689</v>
      </c>
      <c r="C208" s="2" t="s">
        <v>54</v>
      </c>
      <c r="D208" s="2" t="s">
        <v>67</v>
      </c>
      <c r="E208" s="2">
        <v>54300.87</v>
      </c>
      <c r="F208" s="2">
        <v>7875</v>
      </c>
      <c r="G208" s="2">
        <v>0.107</v>
      </c>
      <c r="H208" s="2">
        <v>19</v>
      </c>
      <c r="I208" s="2">
        <v>94.1</v>
      </c>
      <c r="J208" s="2">
        <v>0.95</v>
      </c>
      <c r="K208" s="2">
        <v>0</v>
      </c>
      <c r="L208" s="2">
        <v>3.7</v>
      </c>
      <c r="M208" s="2">
        <v>795464.47</v>
      </c>
      <c r="N208" s="2">
        <v>161150.51999999999</v>
      </c>
    </row>
    <row r="209" spans="1:14" x14ac:dyDescent="0.45">
      <c r="A209" s="2" t="s">
        <v>112</v>
      </c>
      <c r="B209" s="3">
        <v>45717</v>
      </c>
      <c r="C209" s="2" t="s">
        <v>54</v>
      </c>
      <c r="D209" s="2" t="s">
        <v>67</v>
      </c>
      <c r="E209" s="2">
        <v>37983.35</v>
      </c>
      <c r="F209" s="2">
        <v>9283</v>
      </c>
      <c r="G209" s="2">
        <v>0.14899999999999999</v>
      </c>
      <c r="H209" s="2">
        <v>19</v>
      </c>
      <c r="I209" s="2">
        <v>83.2</v>
      </c>
      <c r="J209" s="2">
        <v>3.82</v>
      </c>
      <c r="K209" s="2">
        <v>0</v>
      </c>
      <c r="L209" s="2">
        <v>3.7</v>
      </c>
      <c r="M209" s="2">
        <v>671868.59</v>
      </c>
      <c r="N209" s="2">
        <v>71003.28</v>
      </c>
    </row>
    <row r="210" spans="1:14" x14ac:dyDescent="0.45">
      <c r="A210" s="2" t="s">
        <v>112</v>
      </c>
      <c r="B210" s="3">
        <v>45748</v>
      </c>
      <c r="C210" s="2" t="s">
        <v>54</v>
      </c>
      <c r="D210" s="2" t="s">
        <v>67</v>
      </c>
      <c r="E210" s="2">
        <v>56413.83</v>
      </c>
      <c r="F210" s="2">
        <v>8303</v>
      </c>
      <c r="G210" s="2">
        <v>0.11600000000000001</v>
      </c>
      <c r="H210" s="2">
        <v>18</v>
      </c>
      <c r="I210" s="2">
        <v>93.6</v>
      </c>
      <c r="J210" s="2">
        <v>2.7</v>
      </c>
      <c r="K210" s="2">
        <v>0</v>
      </c>
      <c r="L210" s="2">
        <v>3.7</v>
      </c>
      <c r="M210" s="2">
        <v>675917.63</v>
      </c>
      <c r="N210" s="2">
        <v>112564.75</v>
      </c>
    </row>
    <row r="211" spans="1:14" x14ac:dyDescent="0.45">
      <c r="A211" s="2" t="s">
        <v>113</v>
      </c>
      <c r="B211" s="3">
        <v>45658</v>
      </c>
      <c r="C211" s="2" t="s">
        <v>54</v>
      </c>
      <c r="D211" s="2" t="s">
        <v>57</v>
      </c>
      <c r="E211" s="2">
        <v>63457.19</v>
      </c>
      <c r="F211" s="2">
        <v>10125</v>
      </c>
      <c r="G211" s="2">
        <v>9.7000000000000003E-2</v>
      </c>
      <c r="H211" s="2">
        <v>24</v>
      </c>
      <c r="I211" s="2">
        <v>87</v>
      </c>
      <c r="J211" s="2">
        <v>3.84</v>
      </c>
      <c r="K211" s="2">
        <v>1</v>
      </c>
      <c r="L211" s="2">
        <v>3.7</v>
      </c>
      <c r="M211" s="2">
        <v>810446.53</v>
      </c>
      <c r="N211" s="2">
        <v>200575.34</v>
      </c>
    </row>
    <row r="212" spans="1:14" x14ac:dyDescent="0.45">
      <c r="A212" s="2" t="s">
        <v>113</v>
      </c>
      <c r="B212" s="3">
        <v>45689</v>
      </c>
      <c r="C212" s="2" t="s">
        <v>54</v>
      </c>
      <c r="D212" s="2" t="s">
        <v>57</v>
      </c>
      <c r="E212" s="2">
        <v>62949.7</v>
      </c>
      <c r="F212" s="2">
        <v>9458</v>
      </c>
      <c r="G212" s="2">
        <v>0.17100000000000001</v>
      </c>
      <c r="H212" s="2">
        <v>19</v>
      </c>
      <c r="I212" s="2">
        <v>84.9</v>
      </c>
      <c r="J212" s="2">
        <v>5.09</v>
      </c>
      <c r="K212" s="2">
        <v>0</v>
      </c>
      <c r="L212" s="2">
        <v>3.3</v>
      </c>
      <c r="M212" s="2">
        <v>691288.19</v>
      </c>
      <c r="N212" s="2">
        <v>159074.14000000001</v>
      </c>
    </row>
    <row r="213" spans="1:14" x14ac:dyDescent="0.45">
      <c r="A213" s="2" t="s">
        <v>113</v>
      </c>
      <c r="B213" s="3">
        <v>45717</v>
      </c>
      <c r="C213" s="2" t="s">
        <v>54</v>
      </c>
      <c r="D213" s="2" t="s">
        <v>57</v>
      </c>
      <c r="E213" s="2">
        <v>107970.19</v>
      </c>
      <c r="F213" s="2">
        <v>12870</v>
      </c>
      <c r="G213" s="2">
        <v>2.9000000000000001E-2</v>
      </c>
      <c r="H213" s="2">
        <v>31</v>
      </c>
      <c r="I213" s="2">
        <v>91.7</v>
      </c>
      <c r="J213" s="2">
        <v>3.82</v>
      </c>
      <c r="K213" s="2">
        <v>1</v>
      </c>
      <c r="L213" s="2">
        <v>3.7</v>
      </c>
      <c r="M213" s="2">
        <v>946833.54</v>
      </c>
      <c r="N213" s="2">
        <v>184540.31</v>
      </c>
    </row>
    <row r="214" spans="1:14" x14ac:dyDescent="0.45">
      <c r="A214" s="2" t="s">
        <v>113</v>
      </c>
      <c r="B214" s="3">
        <v>45748</v>
      </c>
      <c r="C214" s="2" t="s">
        <v>54</v>
      </c>
      <c r="D214" s="2" t="s">
        <v>57</v>
      </c>
      <c r="E214" s="2">
        <v>49405.75</v>
      </c>
      <c r="F214" s="2">
        <v>9752</v>
      </c>
      <c r="G214" s="2">
        <v>9.2999999999999999E-2</v>
      </c>
      <c r="H214" s="2">
        <v>21</v>
      </c>
      <c r="I214" s="2">
        <v>87</v>
      </c>
      <c r="J214" s="2">
        <v>12.28</v>
      </c>
      <c r="K214" s="2">
        <v>0</v>
      </c>
      <c r="L214" s="2">
        <v>4.0999999999999996</v>
      </c>
      <c r="M214" s="2">
        <v>761963.23</v>
      </c>
      <c r="N214" s="2">
        <v>150113.60999999999</v>
      </c>
    </row>
    <row r="215" spans="1:14" x14ac:dyDescent="0.45">
      <c r="A215" s="2" t="s">
        <v>114</v>
      </c>
      <c r="B215" s="3">
        <v>45658</v>
      </c>
      <c r="C215" s="2" t="s">
        <v>66</v>
      </c>
      <c r="D215" s="2" t="s">
        <v>55</v>
      </c>
      <c r="E215" s="2">
        <v>50887.46</v>
      </c>
      <c r="F215" s="2">
        <v>9505</v>
      </c>
      <c r="G215" s="2">
        <v>9.0999999999999998E-2</v>
      </c>
      <c r="H215" s="2">
        <v>25</v>
      </c>
      <c r="I215" s="2">
        <v>89.7</v>
      </c>
      <c r="J215" s="2">
        <v>2.8</v>
      </c>
      <c r="K215" s="2">
        <v>0</v>
      </c>
      <c r="L215" s="2">
        <v>4.3</v>
      </c>
      <c r="M215" s="2">
        <v>812152.6</v>
      </c>
      <c r="N215" s="2">
        <v>138419.43</v>
      </c>
    </row>
    <row r="216" spans="1:14" x14ac:dyDescent="0.45">
      <c r="A216" s="2" t="s">
        <v>114</v>
      </c>
      <c r="B216" s="3">
        <v>45689</v>
      </c>
      <c r="C216" s="2" t="s">
        <v>66</v>
      </c>
      <c r="D216" s="2" t="s">
        <v>55</v>
      </c>
      <c r="E216" s="2">
        <v>41819.449999999997</v>
      </c>
      <c r="F216" s="2">
        <v>9412</v>
      </c>
      <c r="G216" s="2">
        <v>0.15</v>
      </c>
      <c r="H216" s="2">
        <v>22</v>
      </c>
      <c r="I216" s="2">
        <v>91</v>
      </c>
      <c r="J216" s="2">
        <v>3.67</v>
      </c>
      <c r="K216" s="2">
        <v>0</v>
      </c>
      <c r="L216" s="2">
        <v>4.2</v>
      </c>
      <c r="M216" s="2">
        <v>804975.5</v>
      </c>
      <c r="N216" s="2">
        <v>140054.5</v>
      </c>
    </row>
    <row r="217" spans="1:14" x14ac:dyDescent="0.45">
      <c r="A217" s="2" t="s">
        <v>114</v>
      </c>
      <c r="B217" s="3">
        <v>45717</v>
      </c>
      <c r="C217" s="2" t="s">
        <v>66</v>
      </c>
      <c r="D217" s="2" t="s">
        <v>55</v>
      </c>
      <c r="E217" s="2">
        <v>35296.54</v>
      </c>
      <c r="F217" s="2">
        <v>9644</v>
      </c>
      <c r="G217" s="2">
        <v>0</v>
      </c>
      <c r="H217" s="2">
        <v>22</v>
      </c>
      <c r="I217" s="2">
        <v>88</v>
      </c>
      <c r="J217" s="2">
        <v>2.81</v>
      </c>
      <c r="K217" s="2">
        <v>0</v>
      </c>
      <c r="L217" s="2">
        <v>4.7</v>
      </c>
      <c r="M217" s="2">
        <v>752321.72</v>
      </c>
      <c r="N217" s="2">
        <v>137788.51</v>
      </c>
    </row>
    <row r="218" spans="1:14" x14ac:dyDescent="0.45">
      <c r="A218" s="2" t="s">
        <v>114</v>
      </c>
      <c r="B218" s="3">
        <v>45748</v>
      </c>
      <c r="C218" s="2" t="s">
        <v>66</v>
      </c>
      <c r="D218" s="2" t="s">
        <v>55</v>
      </c>
      <c r="E218" s="2">
        <v>47391.09</v>
      </c>
      <c r="F218" s="2">
        <v>11224</v>
      </c>
      <c r="G218" s="2">
        <v>0.14699999999999999</v>
      </c>
      <c r="H218" s="2">
        <v>25</v>
      </c>
      <c r="I218" s="2">
        <v>88.4</v>
      </c>
      <c r="J218" s="2">
        <v>2.44</v>
      </c>
      <c r="K218" s="2">
        <v>0</v>
      </c>
      <c r="L218" s="2">
        <v>4.9000000000000004</v>
      </c>
      <c r="M218" s="2">
        <v>836908.24</v>
      </c>
      <c r="N218" s="2">
        <v>141090.26</v>
      </c>
    </row>
    <row r="219" spans="1:14" x14ac:dyDescent="0.45">
      <c r="A219" s="2" t="s">
        <v>115</v>
      </c>
      <c r="B219" s="3">
        <v>45658</v>
      </c>
      <c r="C219" s="2" t="s">
        <v>59</v>
      </c>
      <c r="D219" s="2" t="s">
        <v>60</v>
      </c>
      <c r="E219" s="2">
        <v>69180.539999999994</v>
      </c>
      <c r="F219" s="2">
        <v>5394</v>
      </c>
      <c r="G219" s="2">
        <v>0.126</v>
      </c>
      <c r="H219" s="2">
        <v>12</v>
      </c>
      <c r="I219" s="2">
        <v>82.9</v>
      </c>
      <c r="J219" s="2">
        <v>3.27</v>
      </c>
      <c r="K219" s="2">
        <v>0</v>
      </c>
      <c r="L219" s="2">
        <v>3.3</v>
      </c>
      <c r="M219" s="2">
        <v>674289.1</v>
      </c>
      <c r="N219" s="2">
        <v>117773.79</v>
      </c>
    </row>
    <row r="220" spans="1:14" x14ac:dyDescent="0.45">
      <c r="A220" s="2" t="s">
        <v>115</v>
      </c>
      <c r="B220" s="3">
        <v>45689</v>
      </c>
      <c r="C220" s="2" t="s">
        <v>59</v>
      </c>
      <c r="D220" s="2" t="s">
        <v>60</v>
      </c>
      <c r="E220" s="2">
        <v>33987.33</v>
      </c>
      <c r="F220" s="2">
        <v>5014</v>
      </c>
      <c r="G220" s="2">
        <v>0.246</v>
      </c>
      <c r="H220" s="2">
        <v>17</v>
      </c>
      <c r="I220" s="2">
        <v>94.3</v>
      </c>
      <c r="J220" s="2">
        <v>10.34</v>
      </c>
      <c r="K220" s="2">
        <v>0</v>
      </c>
      <c r="L220" s="2">
        <v>3.9</v>
      </c>
      <c r="M220" s="2">
        <v>622892.42000000004</v>
      </c>
      <c r="N220" s="2">
        <v>101032.52</v>
      </c>
    </row>
    <row r="221" spans="1:14" x14ac:dyDescent="0.45">
      <c r="A221" s="2" t="s">
        <v>115</v>
      </c>
      <c r="B221" s="3">
        <v>45717</v>
      </c>
      <c r="C221" s="2" t="s">
        <v>59</v>
      </c>
      <c r="D221" s="2" t="s">
        <v>60</v>
      </c>
      <c r="E221" s="2">
        <v>58785.33</v>
      </c>
      <c r="F221" s="2">
        <v>4467</v>
      </c>
      <c r="G221" s="2">
        <v>0.22900000000000001</v>
      </c>
      <c r="H221" s="2">
        <v>14</v>
      </c>
      <c r="I221" s="2">
        <v>90.7</v>
      </c>
      <c r="J221" s="2">
        <v>1.92</v>
      </c>
      <c r="K221" s="2">
        <v>0</v>
      </c>
      <c r="L221" s="2">
        <v>3.7</v>
      </c>
      <c r="M221" s="2">
        <v>673348.56</v>
      </c>
      <c r="N221" s="2">
        <v>69464.59</v>
      </c>
    </row>
    <row r="222" spans="1:14" x14ac:dyDescent="0.45">
      <c r="A222" s="2" t="s">
        <v>115</v>
      </c>
      <c r="B222" s="3">
        <v>45748</v>
      </c>
      <c r="C222" s="2" t="s">
        <v>59</v>
      </c>
      <c r="D222" s="2" t="s">
        <v>60</v>
      </c>
      <c r="E222" s="2">
        <v>16451.849999999999</v>
      </c>
      <c r="F222" s="2">
        <v>4678</v>
      </c>
      <c r="G222" s="2">
        <v>0.13300000000000001</v>
      </c>
      <c r="H222" s="2">
        <v>11</v>
      </c>
      <c r="I222" s="2">
        <v>95.9</v>
      </c>
      <c r="J222" s="2">
        <v>3.1</v>
      </c>
      <c r="K222" s="2">
        <v>0</v>
      </c>
      <c r="L222" s="2">
        <v>3.9</v>
      </c>
      <c r="M222" s="2">
        <v>606278.30000000005</v>
      </c>
      <c r="N222" s="2">
        <v>102213.26</v>
      </c>
    </row>
    <row r="223" spans="1:14" x14ac:dyDescent="0.45">
      <c r="A223" s="2" t="s">
        <v>116</v>
      </c>
      <c r="B223" s="3">
        <v>45658</v>
      </c>
      <c r="C223" s="2" t="s">
        <v>54</v>
      </c>
      <c r="D223" s="2" t="s">
        <v>57</v>
      </c>
      <c r="E223" s="2">
        <v>53367.73</v>
      </c>
      <c r="F223" s="2">
        <v>7291</v>
      </c>
      <c r="G223" s="2">
        <v>0.14599999999999999</v>
      </c>
      <c r="H223" s="2">
        <v>18</v>
      </c>
      <c r="I223" s="2">
        <v>90.6</v>
      </c>
      <c r="J223" s="2">
        <v>6.34</v>
      </c>
      <c r="K223" s="2">
        <v>1</v>
      </c>
      <c r="L223" s="2">
        <v>3.8</v>
      </c>
      <c r="M223" s="2">
        <v>712219.81</v>
      </c>
      <c r="N223" s="2">
        <v>85906.54</v>
      </c>
    </row>
    <row r="224" spans="1:14" x14ac:dyDescent="0.45">
      <c r="A224" s="2" t="s">
        <v>116</v>
      </c>
      <c r="B224" s="3">
        <v>45689</v>
      </c>
      <c r="C224" s="2" t="s">
        <v>54</v>
      </c>
      <c r="D224" s="2" t="s">
        <v>57</v>
      </c>
      <c r="E224" s="2">
        <v>27194.639999999999</v>
      </c>
      <c r="F224" s="2">
        <v>7404</v>
      </c>
      <c r="G224" s="2">
        <v>8.7999999999999995E-2</v>
      </c>
      <c r="H224" s="2">
        <v>18</v>
      </c>
      <c r="I224" s="2">
        <v>90.2</v>
      </c>
      <c r="J224" s="2">
        <v>1.2</v>
      </c>
      <c r="K224" s="2">
        <v>0</v>
      </c>
      <c r="L224" s="2">
        <v>3.4</v>
      </c>
      <c r="M224" s="2">
        <v>672670.54</v>
      </c>
      <c r="N224" s="2">
        <v>132684.18</v>
      </c>
    </row>
    <row r="225" spans="1:14" x14ac:dyDescent="0.45">
      <c r="A225" s="2" t="s">
        <v>116</v>
      </c>
      <c r="B225" s="3">
        <v>45717</v>
      </c>
      <c r="C225" s="2" t="s">
        <v>54</v>
      </c>
      <c r="D225" s="2" t="s">
        <v>57</v>
      </c>
      <c r="E225" s="2">
        <v>66962.740000000005</v>
      </c>
      <c r="F225" s="2">
        <v>7880</v>
      </c>
      <c r="G225" s="2">
        <v>0.11600000000000001</v>
      </c>
      <c r="H225" s="2">
        <v>19</v>
      </c>
      <c r="I225" s="2">
        <v>90.4</v>
      </c>
      <c r="J225" s="2">
        <v>4.5</v>
      </c>
      <c r="K225" s="2">
        <v>0</v>
      </c>
      <c r="L225" s="2">
        <v>3.3</v>
      </c>
      <c r="M225" s="2">
        <v>732667.92</v>
      </c>
      <c r="N225" s="2">
        <v>128654.46</v>
      </c>
    </row>
    <row r="226" spans="1:14" x14ac:dyDescent="0.45">
      <c r="A226" s="2" t="s">
        <v>116</v>
      </c>
      <c r="B226" s="3">
        <v>45748</v>
      </c>
      <c r="C226" s="2" t="s">
        <v>54</v>
      </c>
      <c r="D226" s="2" t="s">
        <v>57</v>
      </c>
      <c r="E226" s="2">
        <v>73540.990000000005</v>
      </c>
      <c r="F226" s="2">
        <v>8773</v>
      </c>
      <c r="G226" s="2">
        <v>3.5000000000000003E-2</v>
      </c>
      <c r="H226" s="2">
        <v>21</v>
      </c>
      <c r="I226" s="2">
        <v>84.4</v>
      </c>
      <c r="J226" s="2">
        <v>6.68</v>
      </c>
      <c r="K226" s="2">
        <v>0</v>
      </c>
      <c r="L226" s="2">
        <v>3.6</v>
      </c>
      <c r="M226" s="2">
        <v>723531.4</v>
      </c>
      <c r="N226" s="2">
        <v>108794.85</v>
      </c>
    </row>
    <row r="227" spans="1:14" x14ac:dyDescent="0.45">
      <c r="A227" s="2" t="s">
        <v>117</v>
      </c>
      <c r="B227" s="3">
        <v>45658</v>
      </c>
      <c r="C227" s="2" t="s">
        <v>54</v>
      </c>
      <c r="D227" s="2" t="s">
        <v>67</v>
      </c>
      <c r="E227" s="2">
        <v>68212.289999999994</v>
      </c>
      <c r="F227" s="2">
        <v>4713</v>
      </c>
      <c r="G227" s="2">
        <v>0.19800000000000001</v>
      </c>
      <c r="H227" s="2">
        <v>15</v>
      </c>
      <c r="I227" s="2">
        <v>82.6</v>
      </c>
      <c r="J227" s="2">
        <v>4.07</v>
      </c>
      <c r="K227" s="2">
        <v>1</v>
      </c>
      <c r="L227" s="2">
        <v>3</v>
      </c>
      <c r="M227" s="2">
        <v>641564.6</v>
      </c>
      <c r="N227" s="2">
        <v>90468.96</v>
      </c>
    </row>
    <row r="228" spans="1:14" x14ac:dyDescent="0.45">
      <c r="A228" s="2" t="s">
        <v>117</v>
      </c>
      <c r="B228" s="3">
        <v>45689</v>
      </c>
      <c r="C228" s="2" t="s">
        <v>54</v>
      </c>
      <c r="D228" s="2" t="s">
        <v>67</v>
      </c>
      <c r="E228" s="2">
        <v>57225.98</v>
      </c>
      <c r="F228" s="2">
        <v>2842</v>
      </c>
      <c r="G228" s="2">
        <v>0.112</v>
      </c>
      <c r="H228" s="2">
        <v>10</v>
      </c>
      <c r="I228" s="2">
        <v>79.5</v>
      </c>
      <c r="J228" s="2">
        <v>5.45</v>
      </c>
      <c r="K228" s="2">
        <v>0</v>
      </c>
      <c r="L228" s="2">
        <v>3.4</v>
      </c>
      <c r="M228" s="2">
        <v>536545.49</v>
      </c>
      <c r="N228" s="2">
        <v>97917.45</v>
      </c>
    </row>
    <row r="229" spans="1:14" x14ac:dyDescent="0.45">
      <c r="A229" s="2" t="s">
        <v>117</v>
      </c>
      <c r="B229" s="3">
        <v>45717</v>
      </c>
      <c r="C229" s="2" t="s">
        <v>54</v>
      </c>
      <c r="D229" s="2" t="s">
        <v>67</v>
      </c>
      <c r="E229" s="2">
        <v>42932.02</v>
      </c>
      <c r="F229" s="2">
        <v>3872</v>
      </c>
      <c r="G229" s="2">
        <v>0.17100000000000001</v>
      </c>
      <c r="H229" s="2">
        <v>12</v>
      </c>
      <c r="I229" s="2">
        <v>83.2</v>
      </c>
      <c r="J229" s="2">
        <v>15.58</v>
      </c>
      <c r="K229" s="2">
        <v>0</v>
      </c>
      <c r="L229" s="2">
        <v>3.3</v>
      </c>
      <c r="M229" s="2">
        <v>527681.56000000006</v>
      </c>
      <c r="N229" s="2">
        <v>63153.05</v>
      </c>
    </row>
    <row r="230" spans="1:14" x14ac:dyDescent="0.45">
      <c r="A230" s="2" t="s">
        <v>117</v>
      </c>
      <c r="B230" s="3">
        <v>45748</v>
      </c>
      <c r="C230" s="2" t="s">
        <v>54</v>
      </c>
      <c r="D230" s="2" t="s">
        <v>67</v>
      </c>
      <c r="E230" s="2">
        <v>39341.449999999997</v>
      </c>
      <c r="F230" s="2">
        <v>1375</v>
      </c>
      <c r="G230" s="2">
        <v>9.2999999999999999E-2</v>
      </c>
      <c r="H230" s="2">
        <v>5</v>
      </c>
      <c r="I230" s="2">
        <v>95</v>
      </c>
      <c r="J230" s="2">
        <v>5.32</v>
      </c>
      <c r="K230" s="2">
        <v>0</v>
      </c>
      <c r="L230" s="2"/>
      <c r="M230" s="2">
        <v>529598.93999999994</v>
      </c>
      <c r="N230" s="2">
        <v>84334.33</v>
      </c>
    </row>
    <row r="231" spans="1:14" x14ac:dyDescent="0.45">
      <c r="A231" s="2" t="s">
        <v>118</v>
      </c>
      <c r="B231" s="3">
        <v>45658</v>
      </c>
      <c r="C231" s="2" t="s">
        <v>54</v>
      </c>
      <c r="D231" s="2" t="s">
        <v>57</v>
      </c>
      <c r="E231" s="2">
        <v>37324.230000000003</v>
      </c>
      <c r="F231" s="2">
        <v>5957</v>
      </c>
      <c r="G231" s="2">
        <v>7.0999999999999994E-2</v>
      </c>
      <c r="H231" s="2">
        <v>12</v>
      </c>
      <c r="I231" s="2">
        <v>85.9</v>
      </c>
      <c r="J231" s="2">
        <v>0.37</v>
      </c>
      <c r="K231" s="2">
        <v>0</v>
      </c>
      <c r="L231" s="2">
        <v>3.8</v>
      </c>
      <c r="M231" s="2">
        <v>570963.31000000006</v>
      </c>
      <c r="N231" s="2">
        <v>87342.25</v>
      </c>
    </row>
    <row r="232" spans="1:14" x14ac:dyDescent="0.45">
      <c r="A232" s="2" t="s">
        <v>118</v>
      </c>
      <c r="B232" s="3">
        <v>45689</v>
      </c>
      <c r="C232" s="2" t="s">
        <v>54</v>
      </c>
      <c r="D232" s="2" t="s">
        <v>57</v>
      </c>
      <c r="E232" s="2">
        <v>113736</v>
      </c>
      <c r="F232" s="2">
        <v>8961</v>
      </c>
      <c r="G232" s="2">
        <v>0.20200000000000001</v>
      </c>
      <c r="H232" s="2">
        <v>24</v>
      </c>
      <c r="I232" s="2">
        <v>86.2</v>
      </c>
      <c r="J232" s="2">
        <v>21.63</v>
      </c>
      <c r="K232" s="2">
        <v>0</v>
      </c>
      <c r="L232" s="2">
        <v>4</v>
      </c>
      <c r="M232" s="2">
        <v>870937.4</v>
      </c>
      <c r="N232" s="2">
        <v>175282.74</v>
      </c>
    </row>
    <row r="233" spans="1:14" x14ac:dyDescent="0.45">
      <c r="A233" s="2" t="s">
        <v>118</v>
      </c>
      <c r="B233" s="3">
        <v>45717</v>
      </c>
      <c r="C233" s="2" t="s">
        <v>54</v>
      </c>
      <c r="D233" s="2" t="s">
        <v>57</v>
      </c>
      <c r="E233" s="2">
        <v>33173.949999999997</v>
      </c>
      <c r="F233" s="2">
        <v>6545</v>
      </c>
      <c r="G233" s="2">
        <v>0.16900000000000001</v>
      </c>
      <c r="H233" s="2">
        <v>15</v>
      </c>
      <c r="I233" s="2">
        <v>84.4</v>
      </c>
      <c r="J233" s="2">
        <v>2.48</v>
      </c>
      <c r="K233" s="2">
        <v>0</v>
      </c>
      <c r="L233" s="2">
        <v>3.9</v>
      </c>
      <c r="M233" s="2">
        <v>596969.27</v>
      </c>
      <c r="N233" s="2">
        <v>105669.51</v>
      </c>
    </row>
    <row r="234" spans="1:14" x14ac:dyDescent="0.45">
      <c r="A234" s="2" t="s">
        <v>118</v>
      </c>
      <c r="B234" s="3">
        <v>45748</v>
      </c>
      <c r="C234" s="2" t="s">
        <v>54</v>
      </c>
      <c r="D234" s="2" t="s">
        <v>57</v>
      </c>
      <c r="E234" s="2">
        <v>25818.080000000002</v>
      </c>
      <c r="F234" s="2">
        <v>5457</v>
      </c>
      <c r="G234" s="2">
        <v>0</v>
      </c>
      <c r="H234" s="2">
        <v>11</v>
      </c>
      <c r="I234" s="2">
        <v>95.4</v>
      </c>
      <c r="J234" s="2"/>
      <c r="K234" s="2">
        <v>0</v>
      </c>
      <c r="L234" s="2">
        <v>3.7</v>
      </c>
      <c r="M234" s="2">
        <v>647512.85</v>
      </c>
      <c r="N234" s="2">
        <v>153835.57</v>
      </c>
    </row>
    <row r="235" spans="1:14" x14ac:dyDescent="0.45">
      <c r="A235" s="2" t="s">
        <v>119</v>
      </c>
      <c r="B235" s="3">
        <v>45658</v>
      </c>
      <c r="C235" s="2" t="s">
        <v>66</v>
      </c>
      <c r="D235" s="2" t="s">
        <v>55</v>
      </c>
      <c r="E235" s="2">
        <v>47241.919999999998</v>
      </c>
      <c r="F235" s="2">
        <v>4264</v>
      </c>
      <c r="G235" s="2">
        <v>6.9000000000000006E-2</v>
      </c>
      <c r="H235" s="2">
        <v>13</v>
      </c>
      <c r="I235" s="2">
        <v>95.3</v>
      </c>
      <c r="J235" s="2">
        <v>0.85</v>
      </c>
      <c r="K235" s="2">
        <v>0</v>
      </c>
      <c r="L235" s="2">
        <v>4.3</v>
      </c>
      <c r="M235" s="2">
        <v>658072.14</v>
      </c>
      <c r="N235" s="2">
        <v>110595.89</v>
      </c>
    </row>
    <row r="236" spans="1:14" x14ac:dyDescent="0.45">
      <c r="A236" s="2" t="s">
        <v>119</v>
      </c>
      <c r="B236" s="3">
        <v>45689</v>
      </c>
      <c r="C236" s="2" t="s">
        <v>66</v>
      </c>
      <c r="D236" s="2" t="s">
        <v>55</v>
      </c>
      <c r="E236" s="2">
        <v>61650.79</v>
      </c>
      <c r="F236" s="2">
        <v>5321</v>
      </c>
      <c r="G236" s="2">
        <v>0.126</v>
      </c>
      <c r="H236" s="2">
        <v>17</v>
      </c>
      <c r="I236" s="2">
        <v>89.2</v>
      </c>
      <c r="J236" s="2">
        <v>2.13</v>
      </c>
      <c r="K236" s="2">
        <v>0</v>
      </c>
      <c r="L236" s="2">
        <v>4</v>
      </c>
      <c r="M236" s="2">
        <v>723305.11</v>
      </c>
      <c r="N236" s="2">
        <v>128468.7</v>
      </c>
    </row>
    <row r="237" spans="1:14" x14ac:dyDescent="0.45">
      <c r="A237" s="2" t="s">
        <v>119</v>
      </c>
      <c r="B237" s="3">
        <v>45717</v>
      </c>
      <c r="C237" s="2" t="s">
        <v>66</v>
      </c>
      <c r="D237" s="2" t="s">
        <v>55</v>
      </c>
      <c r="E237" s="2">
        <v>62582.71</v>
      </c>
      <c r="F237" s="2">
        <v>5479</v>
      </c>
      <c r="G237" s="2">
        <v>4.8000000000000001E-2</v>
      </c>
      <c r="H237" s="2">
        <v>16</v>
      </c>
      <c r="I237" s="2">
        <v>81.2</v>
      </c>
      <c r="J237" s="2">
        <v>1.46</v>
      </c>
      <c r="K237" s="2">
        <v>0</v>
      </c>
      <c r="L237" s="2">
        <v>4.5</v>
      </c>
      <c r="M237" s="2">
        <v>640666.53</v>
      </c>
      <c r="N237" s="2">
        <v>134919.16</v>
      </c>
    </row>
    <row r="238" spans="1:14" x14ac:dyDescent="0.45">
      <c r="A238" s="2" t="s">
        <v>119</v>
      </c>
      <c r="B238" s="3">
        <v>45748</v>
      </c>
      <c r="C238" s="2" t="s">
        <v>66</v>
      </c>
      <c r="D238" s="2" t="s">
        <v>55</v>
      </c>
      <c r="E238" s="2">
        <v>47944.14</v>
      </c>
      <c r="F238" s="2">
        <v>6169</v>
      </c>
      <c r="G238" s="2">
        <v>0.11899999999999999</v>
      </c>
      <c r="H238" s="2">
        <v>17</v>
      </c>
      <c r="I238" s="2">
        <v>92.2</v>
      </c>
      <c r="J238" s="2">
        <v>3.02</v>
      </c>
      <c r="K238" s="2">
        <v>0</v>
      </c>
      <c r="L238" s="2">
        <v>4.0999999999999996</v>
      </c>
      <c r="M238" s="2">
        <v>670629.48</v>
      </c>
      <c r="N238" s="2">
        <v>100140.8</v>
      </c>
    </row>
    <row r="239" spans="1:14" x14ac:dyDescent="0.45">
      <c r="A239" s="2" t="s">
        <v>120</v>
      </c>
      <c r="B239" s="3">
        <v>45658</v>
      </c>
      <c r="C239" s="2" t="s">
        <v>66</v>
      </c>
      <c r="D239" s="2" t="s">
        <v>67</v>
      </c>
      <c r="E239" s="2">
        <v>46495.4</v>
      </c>
      <c r="F239" s="2">
        <v>9908</v>
      </c>
      <c r="G239" s="2">
        <v>0.121</v>
      </c>
      <c r="H239" s="2">
        <v>22</v>
      </c>
      <c r="I239" s="2">
        <v>89.4</v>
      </c>
      <c r="J239" s="2">
        <v>3.22</v>
      </c>
      <c r="K239" s="2">
        <v>0</v>
      </c>
      <c r="L239" s="2">
        <v>3.7</v>
      </c>
      <c r="M239" s="2">
        <v>721079.35</v>
      </c>
      <c r="N239" s="2">
        <v>115295.05</v>
      </c>
    </row>
    <row r="240" spans="1:14" x14ac:dyDescent="0.45">
      <c r="A240" s="2" t="s">
        <v>120</v>
      </c>
      <c r="B240" s="3">
        <v>45689</v>
      </c>
      <c r="C240" s="2" t="s">
        <v>66</v>
      </c>
      <c r="D240" s="2" t="s">
        <v>67</v>
      </c>
      <c r="E240" s="2">
        <v>72961.95</v>
      </c>
      <c r="F240" s="2">
        <v>9996</v>
      </c>
      <c r="G240" s="2">
        <v>0.106</v>
      </c>
      <c r="H240" s="2">
        <v>22</v>
      </c>
      <c r="I240" s="2">
        <v>89.1</v>
      </c>
      <c r="J240" s="2">
        <v>15.66</v>
      </c>
      <c r="K240" s="2">
        <v>0</v>
      </c>
      <c r="L240" s="2">
        <v>3.4</v>
      </c>
      <c r="M240" s="2">
        <v>810355.02</v>
      </c>
      <c r="N240" s="2">
        <v>131510</v>
      </c>
    </row>
    <row r="241" spans="1:14" x14ac:dyDescent="0.45">
      <c r="A241" s="2" t="s">
        <v>120</v>
      </c>
      <c r="B241" s="3">
        <v>45717</v>
      </c>
      <c r="C241" s="2" t="s">
        <v>66</v>
      </c>
      <c r="D241" s="2" t="s">
        <v>67</v>
      </c>
      <c r="E241" s="2">
        <v>59060.05</v>
      </c>
      <c r="F241" s="2">
        <v>9702</v>
      </c>
      <c r="G241" s="2">
        <v>0.20100000000000001</v>
      </c>
      <c r="H241" s="2">
        <v>23</v>
      </c>
      <c r="I241" s="2">
        <v>80.900000000000006</v>
      </c>
      <c r="J241" s="2">
        <v>6.96</v>
      </c>
      <c r="K241" s="2">
        <v>0</v>
      </c>
      <c r="L241" s="2">
        <v>3.2</v>
      </c>
      <c r="M241" s="2">
        <v>761919.25</v>
      </c>
      <c r="N241" s="2">
        <v>111893.06</v>
      </c>
    </row>
    <row r="242" spans="1:14" x14ac:dyDescent="0.45">
      <c r="A242" s="2" t="s">
        <v>120</v>
      </c>
      <c r="B242" s="3">
        <v>45748</v>
      </c>
      <c r="C242" s="2" t="s">
        <v>66</v>
      </c>
      <c r="D242" s="2" t="s">
        <v>67</v>
      </c>
      <c r="E242" s="2">
        <v>26248.1</v>
      </c>
      <c r="F242" s="2">
        <v>9314</v>
      </c>
      <c r="G242" s="2">
        <v>0.186</v>
      </c>
      <c r="H242" s="2">
        <v>21</v>
      </c>
      <c r="I242" s="2">
        <v>83.7</v>
      </c>
      <c r="J242" s="2">
        <v>4.62</v>
      </c>
      <c r="K242" s="2">
        <v>0</v>
      </c>
      <c r="L242" s="2">
        <v>3.3</v>
      </c>
      <c r="M242" s="2">
        <v>737070.18</v>
      </c>
      <c r="N242" s="2">
        <v>117593.97</v>
      </c>
    </row>
    <row r="243" spans="1:14" x14ac:dyDescent="0.45">
      <c r="A243" s="2" t="s">
        <v>121</v>
      </c>
      <c r="B243" s="3">
        <v>45658</v>
      </c>
      <c r="C243" s="2" t="s">
        <v>63</v>
      </c>
      <c r="D243" s="2" t="s">
        <v>60</v>
      </c>
      <c r="E243" s="2">
        <v>69900.12</v>
      </c>
      <c r="F243" s="2">
        <v>8055</v>
      </c>
      <c r="G243" s="2">
        <v>0.28100000000000003</v>
      </c>
      <c r="H243" s="2">
        <v>22</v>
      </c>
      <c r="I243" s="2">
        <v>85.6</v>
      </c>
      <c r="J243" s="2">
        <v>10.68</v>
      </c>
      <c r="K243" s="2">
        <v>1</v>
      </c>
      <c r="L243" s="2">
        <v>2.9</v>
      </c>
      <c r="M243" s="2">
        <v>776992.93</v>
      </c>
      <c r="N243" s="2">
        <v>101598.32</v>
      </c>
    </row>
    <row r="244" spans="1:14" x14ac:dyDescent="0.45">
      <c r="A244" s="2" t="s">
        <v>121</v>
      </c>
      <c r="B244" s="3">
        <v>45689</v>
      </c>
      <c r="C244" s="2" t="s">
        <v>63</v>
      </c>
      <c r="D244" s="2" t="s">
        <v>60</v>
      </c>
      <c r="E244" s="2">
        <v>51781.599999999999</v>
      </c>
      <c r="F244" s="2">
        <v>5648</v>
      </c>
      <c r="G244" s="2">
        <v>5.8999999999999997E-2</v>
      </c>
      <c r="H244" s="2">
        <v>13</v>
      </c>
      <c r="I244" s="2">
        <v>85.5</v>
      </c>
      <c r="J244" s="2">
        <v>4.04</v>
      </c>
      <c r="K244" s="2">
        <v>0</v>
      </c>
      <c r="L244" s="2">
        <v>3.7</v>
      </c>
      <c r="M244" s="2">
        <v>676337.41</v>
      </c>
      <c r="N244" s="2">
        <v>104355.77</v>
      </c>
    </row>
    <row r="245" spans="1:14" x14ac:dyDescent="0.45">
      <c r="A245" s="2" t="s">
        <v>121</v>
      </c>
      <c r="B245" s="3">
        <v>45717</v>
      </c>
      <c r="C245" s="2" t="s">
        <v>63</v>
      </c>
      <c r="D245" s="2" t="s">
        <v>60</v>
      </c>
      <c r="E245" s="2">
        <v>70799.64</v>
      </c>
      <c r="F245" s="2">
        <v>10076</v>
      </c>
      <c r="G245" s="2">
        <v>0.152</v>
      </c>
      <c r="H245" s="2">
        <v>24</v>
      </c>
      <c r="I245" s="2">
        <v>84.8</v>
      </c>
      <c r="J245" s="2">
        <v>1.87</v>
      </c>
      <c r="K245" s="2">
        <v>0</v>
      </c>
      <c r="L245" s="2">
        <v>3.5</v>
      </c>
      <c r="M245" s="2">
        <v>828219.67</v>
      </c>
      <c r="N245" s="2">
        <v>179806.87</v>
      </c>
    </row>
    <row r="246" spans="1:14" x14ac:dyDescent="0.45">
      <c r="A246" s="2" t="s">
        <v>121</v>
      </c>
      <c r="B246" s="3">
        <v>45748</v>
      </c>
      <c r="C246" s="2" t="s">
        <v>63</v>
      </c>
      <c r="D246" s="2" t="s">
        <v>60</v>
      </c>
      <c r="E246" s="2">
        <v>53546.34</v>
      </c>
      <c r="F246" s="2">
        <v>8004</v>
      </c>
      <c r="G246" s="2">
        <v>0</v>
      </c>
      <c r="H246" s="2">
        <v>21</v>
      </c>
      <c r="I246" s="2">
        <v>95.2</v>
      </c>
      <c r="J246" s="2">
        <v>2.83</v>
      </c>
      <c r="K246" s="2">
        <v>0</v>
      </c>
      <c r="L246" s="2">
        <v>3</v>
      </c>
      <c r="M246" s="2">
        <v>763159.92</v>
      </c>
      <c r="N246" s="2">
        <v>177104.87</v>
      </c>
    </row>
    <row r="247" spans="1:14" x14ac:dyDescent="0.45">
      <c r="A247" s="2" t="s">
        <v>122</v>
      </c>
      <c r="B247" s="3">
        <v>45658</v>
      </c>
      <c r="C247" s="2" t="s">
        <v>54</v>
      </c>
      <c r="D247" s="2" t="s">
        <v>57</v>
      </c>
      <c r="E247" s="2">
        <v>76942.2</v>
      </c>
      <c r="F247" s="2">
        <v>8934</v>
      </c>
      <c r="G247" s="2">
        <v>8.4000000000000005E-2</v>
      </c>
      <c r="H247" s="2">
        <v>20</v>
      </c>
      <c r="I247" s="2">
        <v>91</v>
      </c>
      <c r="J247" s="2">
        <v>0.95</v>
      </c>
      <c r="K247" s="2">
        <v>0</v>
      </c>
      <c r="L247" s="2">
        <v>3.2</v>
      </c>
      <c r="M247" s="2">
        <v>802001.68</v>
      </c>
      <c r="N247" s="2">
        <v>159715.82</v>
      </c>
    </row>
    <row r="248" spans="1:14" x14ac:dyDescent="0.45">
      <c r="A248" s="2" t="s">
        <v>122</v>
      </c>
      <c r="B248" s="3">
        <v>45689</v>
      </c>
      <c r="C248" s="2" t="s">
        <v>54</v>
      </c>
      <c r="D248" s="2" t="s">
        <v>57</v>
      </c>
      <c r="E248" s="2">
        <v>48060.78</v>
      </c>
      <c r="F248" s="2">
        <v>8733</v>
      </c>
      <c r="G248" s="2">
        <v>0</v>
      </c>
      <c r="H248" s="2">
        <v>20</v>
      </c>
      <c r="I248" s="2">
        <v>89.9</v>
      </c>
      <c r="J248" s="2">
        <v>0.8</v>
      </c>
      <c r="K248" s="2">
        <v>0</v>
      </c>
      <c r="L248" s="2">
        <v>3.4</v>
      </c>
      <c r="M248" s="2">
        <v>750471.34</v>
      </c>
      <c r="N248" s="2">
        <v>133788.04</v>
      </c>
    </row>
    <row r="249" spans="1:14" x14ac:dyDescent="0.45">
      <c r="A249" s="2" t="s">
        <v>122</v>
      </c>
      <c r="B249" s="3">
        <v>45717</v>
      </c>
      <c r="C249" s="2" t="s">
        <v>54</v>
      </c>
      <c r="D249" s="2" t="s">
        <v>57</v>
      </c>
      <c r="E249" s="2">
        <v>57390.04</v>
      </c>
      <c r="F249" s="2">
        <v>7374</v>
      </c>
      <c r="G249" s="2">
        <v>0.21</v>
      </c>
      <c r="H249" s="2">
        <v>21</v>
      </c>
      <c r="I249" s="2">
        <v>91.8</v>
      </c>
      <c r="J249" s="2">
        <v>0.2</v>
      </c>
      <c r="K249" s="2">
        <v>0</v>
      </c>
      <c r="L249" s="2">
        <v>3.1</v>
      </c>
      <c r="M249" s="2">
        <v>679230.86</v>
      </c>
      <c r="N249" s="2">
        <v>106927.58</v>
      </c>
    </row>
    <row r="250" spans="1:14" x14ac:dyDescent="0.45">
      <c r="A250" s="2" t="s">
        <v>122</v>
      </c>
      <c r="B250" s="3">
        <v>45748</v>
      </c>
      <c r="C250" s="2" t="s">
        <v>54</v>
      </c>
      <c r="D250" s="2" t="s">
        <v>57</v>
      </c>
      <c r="E250" s="2">
        <v>21536.18</v>
      </c>
      <c r="F250" s="2">
        <v>8119</v>
      </c>
      <c r="G250" s="2">
        <v>0.22700000000000001</v>
      </c>
      <c r="H250" s="2">
        <v>20</v>
      </c>
      <c r="I250" s="2">
        <v>90.4</v>
      </c>
      <c r="J250" s="2">
        <v>1.7</v>
      </c>
      <c r="K250" s="2">
        <v>0</v>
      </c>
      <c r="L250" s="2">
        <v>3.3</v>
      </c>
      <c r="M250" s="2">
        <v>679888.74</v>
      </c>
      <c r="N250" s="2">
        <v>83406.89</v>
      </c>
    </row>
    <row r="251" spans="1:14" x14ac:dyDescent="0.45">
      <c r="A251" s="2" t="s">
        <v>123</v>
      </c>
      <c r="B251" s="3">
        <v>45658</v>
      </c>
      <c r="C251" s="2" t="s">
        <v>59</v>
      </c>
      <c r="D251" s="2" t="s">
        <v>57</v>
      </c>
      <c r="E251" s="2">
        <v>40923.67</v>
      </c>
      <c r="F251" s="2">
        <v>3875</v>
      </c>
      <c r="G251" s="2">
        <v>0.15</v>
      </c>
      <c r="H251" s="2">
        <v>10</v>
      </c>
      <c r="I251" s="2">
        <v>96.1</v>
      </c>
      <c r="J251" s="2"/>
      <c r="K251" s="2">
        <v>0</v>
      </c>
      <c r="L251" s="2">
        <v>3.8</v>
      </c>
      <c r="M251" s="2">
        <v>606783.67000000004</v>
      </c>
      <c r="N251" s="2">
        <v>74515.87</v>
      </c>
    </row>
    <row r="252" spans="1:14" x14ac:dyDescent="0.45">
      <c r="A252" s="2" t="s">
        <v>123</v>
      </c>
      <c r="B252" s="3">
        <v>45689</v>
      </c>
      <c r="C252" s="2" t="s">
        <v>59</v>
      </c>
      <c r="D252" s="2" t="s">
        <v>57</v>
      </c>
      <c r="E252" s="2">
        <v>72932.55</v>
      </c>
      <c r="F252" s="2">
        <v>5765</v>
      </c>
      <c r="G252" s="2">
        <v>2.5999999999999999E-2</v>
      </c>
      <c r="H252" s="2">
        <v>17</v>
      </c>
      <c r="I252" s="2">
        <v>81.8</v>
      </c>
      <c r="J252" s="2">
        <v>5.0999999999999996</v>
      </c>
      <c r="K252" s="2">
        <v>0</v>
      </c>
      <c r="L252" s="2">
        <v>3.6</v>
      </c>
      <c r="M252" s="2">
        <v>642751.42000000004</v>
      </c>
      <c r="N252" s="2">
        <v>131942.15</v>
      </c>
    </row>
    <row r="253" spans="1:14" x14ac:dyDescent="0.45">
      <c r="A253" s="2" t="s">
        <v>123</v>
      </c>
      <c r="B253" s="3">
        <v>45717</v>
      </c>
      <c r="C253" s="2" t="s">
        <v>59</v>
      </c>
      <c r="D253" s="2" t="s">
        <v>57</v>
      </c>
      <c r="E253" s="2">
        <v>38361.93</v>
      </c>
      <c r="F253" s="2">
        <v>6322</v>
      </c>
      <c r="G253" s="2">
        <v>0.27300000000000002</v>
      </c>
      <c r="H253" s="2">
        <v>15</v>
      </c>
      <c r="I253" s="2">
        <v>88.4</v>
      </c>
      <c r="J253" s="2">
        <v>0.83</v>
      </c>
      <c r="K253" s="2">
        <v>0</v>
      </c>
      <c r="L253" s="2">
        <v>4</v>
      </c>
      <c r="M253" s="2">
        <v>647953.78</v>
      </c>
      <c r="N253" s="2">
        <v>118497.43</v>
      </c>
    </row>
    <row r="254" spans="1:14" x14ac:dyDescent="0.45">
      <c r="A254" s="2" t="s">
        <v>123</v>
      </c>
      <c r="B254" s="3">
        <v>45748</v>
      </c>
      <c r="C254" s="2" t="s">
        <v>59</v>
      </c>
      <c r="D254" s="2" t="s">
        <v>57</v>
      </c>
      <c r="E254" s="2">
        <v>97480.94</v>
      </c>
      <c r="F254" s="2">
        <v>6840</v>
      </c>
      <c r="G254" s="2">
        <v>8.6999999999999994E-2</v>
      </c>
      <c r="H254" s="2">
        <v>14</v>
      </c>
      <c r="I254" s="2">
        <v>79.2</v>
      </c>
      <c r="J254" s="2">
        <v>1.1399999999999999</v>
      </c>
      <c r="K254" s="2">
        <v>0</v>
      </c>
      <c r="L254" s="2">
        <v>4</v>
      </c>
      <c r="M254" s="2">
        <v>729440.45</v>
      </c>
      <c r="N254" s="2">
        <v>87614.29</v>
      </c>
    </row>
    <row r="255" spans="1:14" x14ac:dyDescent="0.45">
      <c r="A255" s="2" t="s">
        <v>124</v>
      </c>
      <c r="B255" s="3">
        <v>45658</v>
      </c>
      <c r="C255" s="2" t="s">
        <v>63</v>
      </c>
      <c r="D255" s="2" t="s">
        <v>60</v>
      </c>
      <c r="E255" s="2">
        <v>81801.8</v>
      </c>
      <c r="F255" s="2">
        <v>6782</v>
      </c>
      <c r="G255" s="2">
        <v>0.05</v>
      </c>
      <c r="H255" s="2">
        <v>16</v>
      </c>
      <c r="I255" s="2">
        <v>99</v>
      </c>
      <c r="J255" s="2">
        <v>9.5399999999999991</v>
      </c>
      <c r="K255" s="2">
        <v>0</v>
      </c>
      <c r="L255" s="2">
        <v>3.7</v>
      </c>
      <c r="M255" s="2">
        <v>764949</v>
      </c>
      <c r="N255" s="2">
        <v>148322.43</v>
      </c>
    </row>
    <row r="256" spans="1:14" x14ac:dyDescent="0.45">
      <c r="A256" s="2" t="s">
        <v>124</v>
      </c>
      <c r="B256" s="3">
        <v>45689</v>
      </c>
      <c r="C256" s="2" t="s">
        <v>63</v>
      </c>
      <c r="D256" s="2" t="s">
        <v>60</v>
      </c>
      <c r="E256" s="2">
        <v>63582.11</v>
      </c>
      <c r="F256" s="2">
        <v>6856</v>
      </c>
      <c r="G256" s="2">
        <v>7.3999999999999996E-2</v>
      </c>
      <c r="H256" s="2">
        <v>17</v>
      </c>
      <c r="I256" s="2">
        <v>89.5</v>
      </c>
      <c r="J256" s="2">
        <v>5.48</v>
      </c>
      <c r="K256" s="2">
        <v>0</v>
      </c>
      <c r="L256" s="2">
        <v>3.2</v>
      </c>
      <c r="M256" s="2">
        <v>799046.94</v>
      </c>
      <c r="N256" s="2">
        <v>144553.64000000001</v>
      </c>
    </row>
    <row r="257" spans="1:14" x14ac:dyDescent="0.45">
      <c r="A257" s="2" t="s">
        <v>124</v>
      </c>
      <c r="B257" s="3">
        <v>45717</v>
      </c>
      <c r="C257" s="2" t="s">
        <v>63</v>
      </c>
      <c r="D257" s="2" t="s">
        <v>60</v>
      </c>
      <c r="E257" s="2">
        <v>75412.740000000005</v>
      </c>
      <c r="F257" s="2">
        <v>5641</v>
      </c>
      <c r="G257" s="2">
        <v>5.8999999999999997E-2</v>
      </c>
      <c r="H257" s="2">
        <v>13</v>
      </c>
      <c r="I257" s="2">
        <v>87.9</v>
      </c>
      <c r="J257" s="2">
        <v>0.84</v>
      </c>
      <c r="K257" s="2">
        <v>0</v>
      </c>
      <c r="L257" s="2">
        <v>3.6</v>
      </c>
      <c r="M257" s="2">
        <v>720079.54</v>
      </c>
      <c r="N257" s="2">
        <v>119499.47</v>
      </c>
    </row>
    <row r="258" spans="1:14" x14ac:dyDescent="0.45">
      <c r="A258" s="2" t="s">
        <v>124</v>
      </c>
      <c r="B258" s="3">
        <v>45748</v>
      </c>
      <c r="C258" s="2" t="s">
        <v>63</v>
      </c>
      <c r="D258" s="2" t="s">
        <v>60</v>
      </c>
      <c r="E258" s="2">
        <v>36290.080000000002</v>
      </c>
      <c r="F258" s="2">
        <v>5787</v>
      </c>
      <c r="G258" s="2">
        <v>0</v>
      </c>
      <c r="H258" s="2">
        <v>17</v>
      </c>
      <c r="I258" s="2">
        <v>88.3</v>
      </c>
      <c r="J258" s="2">
        <v>4.1900000000000004</v>
      </c>
      <c r="K258" s="2">
        <v>0</v>
      </c>
      <c r="L258" s="2">
        <v>4.0999999999999996</v>
      </c>
      <c r="M258" s="2">
        <v>612390.14</v>
      </c>
      <c r="N258" s="2">
        <v>108985.74</v>
      </c>
    </row>
    <row r="259" spans="1:14" x14ac:dyDescent="0.45">
      <c r="A259" s="2" t="s">
        <v>125</v>
      </c>
      <c r="B259" s="3">
        <v>45658</v>
      </c>
      <c r="C259" s="2" t="s">
        <v>63</v>
      </c>
      <c r="D259" s="2" t="s">
        <v>67</v>
      </c>
      <c r="E259" s="2">
        <v>65272.58</v>
      </c>
      <c r="F259" s="2">
        <v>8165</v>
      </c>
      <c r="G259" s="2">
        <v>5.0999999999999997E-2</v>
      </c>
      <c r="H259" s="2">
        <v>19</v>
      </c>
      <c r="I259" s="2">
        <v>87.8</v>
      </c>
      <c r="J259" s="2">
        <v>1.26</v>
      </c>
      <c r="K259" s="2">
        <v>1</v>
      </c>
      <c r="L259" s="2">
        <v>4.3</v>
      </c>
      <c r="M259" s="2">
        <v>840108.12</v>
      </c>
      <c r="N259" s="2">
        <v>126587.01</v>
      </c>
    </row>
    <row r="260" spans="1:14" x14ac:dyDescent="0.45">
      <c r="A260" s="2" t="s">
        <v>125</v>
      </c>
      <c r="B260" s="3">
        <v>45689</v>
      </c>
      <c r="C260" s="2" t="s">
        <v>63</v>
      </c>
      <c r="D260" s="2" t="s">
        <v>67</v>
      </c>
      <c r="E260" s="2">
        <v>28670.43</v>
      </c>
      <c r="F260" s="2">
        <v>7574</v>
      </c>
      <c r="G260" s="2">
        <v>0.114</v>
      </c>
      <c r="H260" s="2">
        <v>19</v>
      </c>
      <c r="I260" s="2">
        <v>82.7</v>
      </c>
      <c r="J260" s="2">
        <v>2.74</v>
      </c>
      <c r="K260" s="2">
        <v>0</v>
      </c>
      <c r="L260" s="2">
        <v>4.5999999999999996</v>
      </c>
      <c r="M260" s="2">
        <v>697888.09</v>
      </c>
      <c r="N260" s="2">
        <v>116249.87</v>
      </c>
    </row>
    <row r="261" spans="1:14" x14ac:dyDescent="0.45">
      <c r="A261" s="2" t="s">
        <v>125</v>
      </c>
      <c r="B261" s="3">
        <v>45717</v>
      </c>
      <c r="C261" s="2" t="s">
        <v>63</v>
      </c>
      <c r="D261" s="2" t="s">
        <v>67</v>
      </c>
      <c r="E261" s="2">
        <v>44189.34</v>
      </c>
      <c r="F261" s="2">
        <v>8634</v>
      </c>
      <c r="G261" s="2">
        <v>0.14299999999999999</v>
      </c>
      <c r="H261" s="2">
        <v>19</v>
      </c>
      <c r="I261" s="2">
        <v>87.5</v>
      </c>
      <c r="J261" s="2">
        <v>3.69</v>
      </c>
      <c r="K261" s="2">
        <v>0</v>
      </c>
      <c r="L261" s="2">
        <v>4.4000000000000004</v>
      </c>
      <c r="M261" s="2">
        <v>746115.59</v>
      </c>
      <c r="N261" s="2">
        <v>94662.96</v>
      </c>
    </row>
    <row r="262" spans="1:14" x14ac:dyDescent="0.45">
      <c r="A262" s="2" t="s">
        <v>125</v>
      </c>
      <c r="B262" s="3">
        <v>45748</v>
      </c>
      <c r="C262" s="2" t="s">
        <v>63</v>
      </c>
      <c r="D262" s="2" t="s">
        <v>67</v>
      </c>
      <c r="E262" s="2">
        <v>38397.82</v>
      </c>
      <c r="F262" s="2">
        <v>7836</v>
      </c>
      <c r="G262" s="2">
        <v>7.0000000000000001E-3</v>
      </c>
      <c r="H262" s="2">
        <v>21</v>
      </c>
      <c r="I262" s="2">
        <v>92.2</v>
      </c>
      <c r="J262" s="2">
        <v>1.82</v>
      </c>
      <c r="K262" s="2">
        <v>0</v>
      </c>
      <c r="L262" s="2">
        <v>3.6</v>
      </c>
      <c r="M262" s="2">
        <v>776110.32</v>
      </c>
      <c r="N262" s="2">
        <v>139676.21</v>
      </c>
    </row>
    <row r="263" spans="1:14" x14ac:dyDescent="0.45">
      <c r="A263" s="2" t="s">
        <v>126</v>
      </c>
      <c r="B263" s="3">
        <v>45658</v>
      </c>
      <c r="C263" s="2" t="s">
        <v>66</v>
      </c>
      <c r="D263" s="2" t="s">
        <v>57</v>
      </c>
      <c r="E263" s="2">
        <v>14519.37</v>
      </c>
      <c r="F263" s="2">
        <v>3047</v>
      </c>
      <c r="G263" s="2">
        <v>0.13500000000000001</v>
      </c>
      <c r="H263" s="2">
        <v>10</v>
      </c>
      <c r="I263" s="2">
        <v>90.3</v>
      </c>
      <c r="J263" s="2">
        <v>6.62</v>
      </c>
      <c r="K263" s="2">
        <v>0</v>
      </c>
      <c r="L263" s="2">
        <v>4.2</v>
      </c>
      <c r="M263" s="2">
        <v>528852.62</v>
      </c>
      <c r="N263" s="2">
        <v>68426.210000000006</v>
      </c>
    </row>
    <row r="264" spans="1:14" x14ac:dyDescent="0.45">
      <c r="A264" s="2" t="s">
        <v>126</v>
      </c>
      <c r="B264" s="3">
        <v>45689</v>
      </c>
      <c r="C264" s="2" t="s">
        <v>66</v>
      </c>
      <c r="D264" s="2" t="s">
        <v>57</v>
      </c>
      <c r="E264" s="2">
        <v>43288.2</v>
      </c>
      <c r="F264" s="2">
        <v>4783</v>
      </c>
      <c r="G264" s="2">
        <v>0.16900000000000001</v>
      </c>
      <c r="H264" s="2">
        <v>13</v>
      </c>
      <c r="I264" s="2">
        <v>87.3</v>
      </c>
      <c r="J264" s="2"/>
      <c r="K264" s="2">
        <v>0</v>
      </c>
      <c r="L264" s="2">
        <v>4.2</v>
      </c>
      <c r="M264" s="2">
        <v>605751.32999999996</v>
      </c>
      <c r="N264" s="2">
        <v>60685.53</v>
      </c>
    </row>
    <row r="265" spans="1:14" x14ac:dyDescent="0.45">
      <c r="A265" s="2" t="s">
        <v>126</v>
      </c>
      <c r="B265" s="3">
        <v>45717</v>
      </c>
      <c r="C265" s="2" t="s">
        <v>66</v>
      </c>
      <c r="D265" s="2" t="s">
        <v>57</v>
      </c>
      <c r="E265" s="2">
        <v>51450.55</v>
      </c>
      <c r="F265" s="2">
        <v>4902</v>
      </c>
      <c r="G265" s="2">
        <v>8.5999999999999993E-2</v>
      </c>
      <c r="H265" s="2">
        <v>11</v>
      </c>
      <c r="I265" s="2">
        <v>83.7</v>
      </c>
      <c r="J265" s="2">
        <v>6.92</v>
      </c>
      <c r="K265" s="2">
        <v>1</v>
      </c>
      <c r="L265" s="2">
        <v>4.2</v>
      </c>
      <c r="M265" s="2">
        <v>677640.65</v>
      </c>
      <c r="N265" s="2">
        <v>111610.89</v>
      </c>
    </row>
    <row r="266" spans="1:14" x14ac:dyDescent="0.45">
      <c r="A266" s="2" t="s">
        <v>126</v>
      </c>
      <c r="B266" s="3">
        <v>45748</v>
      </c>
      <c r="C266" s="2" t="s">
        <v>66</v>
      </c>
      <c r="D266" s="2" t="s">
        <v>57</v>
      </c>
      <c r="E266" s="2">
        <v>58688.26</v>
      </c>
      <c r="F266" s="2">
        <v>4022</v>
      </c>
      <c r="G266" s="2">
        <v>0.217</v>
      </c>
      <c r="H266" s="2">
        <v>12</v>
      </c>
      <c r="I266" s="2">
        <v>93.8</v>
      </c>
      <c r="J266" s="2">
        <v>11.78</v>
      </c>
      <c r="K266" s="2">
        <v>0</v>
      </c>
      <c r="L266" s="2">
        <v>3.7</v>
      </c>
      <c r="M266" s="2">
        <v>636613.23</v>
      </c>
      <c r="N266" s="2">
        <v>78908.350000000006</v>
      </c>
    </row>
    <row r="267" spans="1:14" x14ac:dyDescent="0.45">
      <c r="A267" s="2" t="s">
        <v>127</v>
      </c>
      <c r="B267" s="3">
        <v>45658</v>
      </c>
      <c r="C267" s="2" t="s">
        <v>54</v>
      </c>
      <c r="D267" s="2" t="s">
        <v>57</v>
      </c>
      <c r="E267" s="2">
        <v>58981.91</v>
      </c>
      <c r="F267" s="2">
        <v>7324</v>
      </c>
      <c r="G267" s="2">
        <v>9.4E-2</v>
      </c>
      <c r="H267" s="2">
        <v>15</v>
      </c>
      <c r="I267" s="2">
        <v>95.8</v>
      </c>
      <c r="J267" s="2">
        <v>0.5</v>
      </c>
      <c r="K267" s="2">
        <v>0</v>
      </c>
      <c r="L267" s="2">
        <v>3.5</v>
      </c>
      <c r="M267" s="2">
        <v>708985.19</v>
      </c>
      <c r="N267" s="2">
        <v>125368.16</v>
      </c>
    </row>
    <row r="268" spans="1:14" x14ac:dyDescent="0.45">
      <c r="A268" s="2" t="s">
        <v>127</v>
      </c>
      <c r="B268" s="3">
        <v>45689</v>
      </c>
      <c r="C268" s="2" t="s">
        <v>54</v>
      </c>
      <c r="D268" s="2" t="s">
        <v>57</v>
      </c>
      <c r="E268" s="2">
        <v>73454.539999999994</v>
      </c>
      <c r="F268" s="2">
        <v>8129</v>
      </c>
      <c r="G268" s="2">
        <v>0.21099999999999999</v>
      </c>
      <c r="H268" s="2">
        <v>20</v>
      </c>
      <c r="I268" s="2">
        <v>85.2</v>
      </c>
      <c r="J268" s="2">
        <v>0.88</v>
      </c>
      <c r="K268" s="2">
        <v>0</v>
      </c>
      <c r="L268" s="2">
        <v>3.7</v>
      </c>
      <c r="M268" s="2">
        <v>767792.94</v>
      </c>
      <c r="N268" s="2">
        <v>96235.77</v>
      </c>
    </row>
    <row r="269" spans="1:14" x14ac:dyDescent="0.45">
      <c r="A269" s="2" t="s">
        <v>127</v>
      </c>
      <c r="B269" s="3">
        <v>45717</v>
      </c>
      <c r="C269" s="2" t="s">
        <v>54</v>
      </c>
      <c r="D269" s="2" t="s">
        <v>57</v>
      </c>
      <c r="E269" s="2">
        <v>56602.39</v>
      </c>
      <c r="F269" s="2">
        <v>7969</v>
      </c>
      <c r="G269" s="2">
        <v>0.17</v>
      </c>
      <c r="H269" s="2">
        <v>21</v>
      </c>
      <c r="I269" s="2">
        <v>88.3</v>
      </c>
      <c r="J269" s="2">
        <v>2.25</v>
      </c>
      <c r="K269" s="2">
        <v>0</v>
      </c>
      <c r="L269" s="2">
        <v>3.7</v>
      </c>
      <c r="M269" s="2">
        <v>745580.51</v>
      </c>
      <c r="N269" s="2">
        <v>116273.68</v>
      </c>
    </row>
    <row r="270" spans="1:14" x14ac:dyDescent="0.45">
      <c r="A270" s="2" t="s">
        <v>127</v>
      </c>
      <c r="B270" s="3">
        <v>45748</v>
      </c>
      <c r="C270" s="2" t="s">
        <v>54</v>
      </c>
      <c r="D270" s="2" t="s">
        <v>57</v>
      </c>
      <c r="E270" s="2">
        <v>67722.289999999994</v>
      </c>
      <c r="F270" s="2">
        <v>7240</v>
      </c>
      <c r="G270" s="2">
        <v>2.5999999999999999E-2</v>
      </c>
      <c r="H270" s="2">
        <v>15</v>
      </c>
      <c r="I270" s="2">
        <v>92.9</v>
      </c>
      <c r="J270" s="2">
        <v>0.28999999999999998</v>
      </c>
      <c r="K270" s="2">
        <v>0</v>
      </c>
      <c r="L270" s="2">
        <v>3.5</v>
      </c>
      <c r="M270" s="2">
        <v>762328.31</v>
      </c>
      <c r="N270" s="2">
        <v>159158.19</v>
      </c>
    </row>
    <row r="271" spans="1:14" x14ac:dyDescent="0.45">
      <c r="A271" s="2" t="s">
        <v>128</v>
      </c>
      <c r="B271" s="3">
        <v>45658</v>
      </c>
      <c r="C271" s="2" t="s">
        <v>54</v>
      </c>
      <c r="D271" s="2" t="s">
        <v>67</v>
      </c>
      <c r="E271" s="2">
        <v>48752.92</v>
      </c>
      <c r="F271" s="2">
        <v>8052</v>
      </c>
      <c r="G271" s="2">
        <v>0.106</v>
      </c>
      <c r="H271" s="2">
        <v>16</v>
      </c>
      <c r="I271" s="2">
        <v>94.9</v>
      </c>
      <c r="J271" s="2">
        <v>0.65</v>
      </c>
      <c r="K271" s="2">
        <v>0</v>
      </c>
      <c r="L271" s="2">
        <v>3.6</v>
      </c>
      <c r="M271" s="2">
        <v>660633.99</v>
      </c>
      <c r="N271" s="2">
        <v>118768.66</v>
      </c>
    </row>
    <row r="272" spans="1:14" x14ac:dyDescent="0.45">
      <c r="A272" s="2" t="s">
        <v>128</v>
      </c>
      <c r="B272" s="3">
        <v>45689</v>
      </c>
      <c r="C272" s="2" t="s">
        <v>54</v>
      </c>
      <c r="D272" s="2" t="s">
        <v>67</v>
      </c>
      <c r="E272" s="2">
        <v>23914.97</v>
      </c>
      <c r="F272" s="2">
        <v>8018</v>
      </c>
      <c r="G272" s="2">
        <v>0.13900000000000001</v>
      </c>
      <c r="H272" s="2">
        <v>20</v>
      </c>
      <c r="I272" s="2">
        <v>89</v>
      </c>
      <c r="J272" s="2">
        <v>0.2</v>
      </c>
      <c r="K272" s="2">
        <v>0</v>
      </c>
      <c r="L272" s="2">
        <v>3.5</v>
      </c>
      <c r="M272" s="2">
        <v>739374.56</v>
      </c>
      <c r="N272" s="2">
        <v>121032.29</v>
      </c>
    </row>
    <row r="273" spans="1:14" x14ac:dyDescent="0.45">
      <c r="A273" s="2" t="s">
        <v>128</v>
      </c>
      <c r="B273" s="3">
        <v>45717</v>
      </c>
      <c r="C273" s="2" t="s">
        <v>54</v>
      </c>
      <c r="D273" s="2" t="s">
        <v>67</v>
      </c>
      <c r="E273" s="2">
        <v>61995.3</v>
      </c>
      <c r="F273" s="2">
        <v>10192</v>
      </c>
      <c r="G273" s="2">
        <v>0.19800000000000001</v>
      </c>
      <c r="H273" s="2">
        <v>21</v>
      </c>
      <c r="I273" s="2">
        <v>87.6</v>
      </c>
      <c r="J273" s="2">
        <v>3.63</v>
      </c>
      <c r="K273" s="2">
        <v>1</v>
      </c>
      <c r="L273" s="2">
        <v>3.8</v>
      </c>
      <c r="M273" s="2">
        <v>799756.46</v>
      </c>
      <c r="N273" s="2">
        <v>105052.93</v>
      </c>
    </row>
    <row r="274" spans="1:14" x14ac:dyDescent="0.45">
      <c r="A274" s="2" t="s">
        <v>128</v>
      </c>
      <c r="B274" s="3">
        <v>45748</v>
      </c>
      <c r="C274" s="2" t="s">
        <v>54</v>
      </c>
      <c r="D274" s="2" t="s">
        <v>67</v>
      </c>
      <c r="E274" s="2">
        <v>29344.93</v>
      </c>
      <c r="F274" s="2">
        <v>7446</v>
      </c>
      <c r="G274" s="2">
        <v>0.111</v>
      </c>
      <c r="H274" s="2">
        <v>15</v>
      </c>
      <c r="I274" s="2">
        <v>86.2</v>
      </c>
      <c r="J274" s="2">
        <v>0.2</v>
      </c>
      <c r="K274" s="2">
        <v>0</v>
      </c>
      <c r="L274" s="2">
        <v>3.2</v>
      </c>
      <c r="M274" s="2">
        <v>593343</v>
      </c>
      <c r="N274" s="2">
        <v>82832.240000000005</v>
      </c>
    </row>
    <row r="275" spans="1:14" x14ac:dyDescent="0.45">
      <c r="A275" s="2" t="s">
        <v>129</v>
      </c>
      <c r="B275" s="3">
        <v>45658</v>
      </c>
      <c r="C275" s="2" t="s">
        <v>66</v>
      </c>
      <c r="D275" s="2" t="s">
        <v>57</v>
      </c>
      <c r="E275" s="2">
        <v>50532.17</v>
      </c>
      <c r="F275" s="2">
        <v>5689</v>
      </c>
      <c r="G275" s="2">
        <v>5.1999999999999998E-2</v>
      </c>
      <c r="H275" s="2">
        <v>17</v>
      </c>
      <c r="I275" s="2">
        <v>85.6</v>
      </c>
      <c r="J275" s="2">
        <v>6.23</v>
      </c>
      <c r="K275" s="2">
        <v>0</v>
      </c>
      <c r="L275" s="2">
        <v>3.3</v>
      </c>
      <c r="M275" s="2">
        <v>645039.97</v>
      </c>
      <c r="N275" s="2">
        <v>83093.33</v>
      </c>
    </row>
    <row r="276" spans="1:14" x14ac:dyDescent="0.45">
      <c r="A276" s="2" t="s">
        <v>129</v>
      </c>
      <c r="B276" s="3">
        <v>45689</v>
      </c>
      <c r="C276" s="2" t="s">
        <v>66</v>
      </c>
      <c r="D276" s="2" t="s">
        <v>57</v>
      </c>
      <c r="E276" s="2">
        <v>17562.57</v>
      </c>
      <c r="F276" s="2">
        <v>3326</v>
      </c>
      <c r="G276" s="2">
        <v>0.153</v>
      </c>
      <c r="H276" s="2">
        <v>14</v>
      </c>
      <c r="I276" s="2">
        <v>88.1</v>
      </c>
      <c r="J276" s="2">
        <v>1.04</v>
      </c>
      <c r="K276" s="2">
        <v>0</v>
      </c>
      <c r="L276" s="2">
        <v>3.1</v>
      </c>
      <c r="M276" s="2">
        <v>561597.32999999996</v>
      </c>
      <c r="N276" s="2">
        <v>75072.75</v>
      </c>
    </row>
    <row r="277" spans="1:14" x14ac:dyDescent="0.45">
      <c r="A277" s="2" t="s">
        <v>129</v>
      </c>
      <c r="B277" s="3">
        <v>45717</v>
      </c>
      <c r="C277" s="2" t="s">
        <v>66</v>
      </c>
      <c r="D277" s="2" t="s">
        <v>57</v>
      </c>
      <c r="E277" s="2">
        <v>47648.71</v>
      </c>
      <c r="F277" s="2">
        <v>5767</v>
      </c>
      <c r="G277" s="2">
        <v>0.14099999999999999</v>
      </c>
      <c r="H277" s="2">
        <v>17</v>
      </c>
      <c r="I277" s="2">
        <v>89.8</v>
      </c>
      <c r="J277" s="2">
        <v>1.76</v>
      </c>
      <c r="K277" s="2">
        <v>0</v>
      </c>
      <c r="L277" s="2">
        <v>3.1</v>
      </c>
      <c r="M277" s="2">
        <v>635837.74</v>
      </c>
      <c r="N277" s="2">
        <v>114740.64</v>
      </c>
    </row>
    <row r="278" spans="1:14" x14ac:dyDescent="0.45">
      <c r="A278" s="2" t="s">
        <v>129</v>
      </c>
      <c r="B278" s="3">
        <v>45748</v>
      </c>
      <c r="C278" s="2" t="s">
        <v>66</v>
      </c>
      <c r="D278" s="2" t="s">
        <v>57</v>
      </c>
      <c r="E278" s="2">
        <v>38297.58</v>
      </c>
      <c r="F278" s="2">
        <v>5893</v>
      </c>
      <c r="G278" s="2">
        <v>0.247</v>
      </c>
      <c r="H278" s="2">
        <v>18</v>
      </c>
      <c r="I278" s="2">
        <v>77.599999999999994</v>
      </c>
      <c r="J278" s="2">
        <v>2.86</v>
      </c>
      <c r="K278" s="2">
        <v>0</v>
      </c>
      <c r="L278" s="2">
        <v>3</v>
      </c>
      <c r="M278" s="2">
        <v>686737.87</v>
      </c>
      <c r="N278" s="2">
        <v>83839.67</v>
      </c>
    </row>
    <row r="279" spans="1:14" x14ac:dyDescent="0.45">
      <c r="A279" s="2" t="s">
        <v>130</v>
      </c>
      <c r="B279" s="3">
        <v>45658</v>
      </c>
      <c r="C279" s="2" t="s">
        <v>63</v>
      </c>
      <c r="D279" s="2" t="s">
        <v>55</v>
      </c>
      <c r="E279" s="2">
        <v>61784.11</v>
      </c>
      <c r="F279" s="2">
        <v>8564</v>
      </c>
      <c r="G279" s="2">
        <v>0.13</v>
      </c>
      <c r="H279" s="2">
        <v>17</v>
      </c>
      <c r="I279" s="2">
        <v>87.4</v>
      </c>
      <c r="J279" s="2">
        <v>18.14</v>
      </c>
      <c r="K279" s="2">
        <v>1</v>
      </c>
      <c r="L279" s="2">
        <v>3.4</v>
      </c>
      <c r="M279" s="2">
        <v>673076.34</v>
      </c>
      <c r="N279" s="2">
        <v>93899.76</v>
      </c>
    </row>
    <row r="280" spans="1:14" x14ac:dyDescent="0.45">
      <c r="A280" s="2" t="s">
        <v>130</v>
      </c>
      <c r="B280" s="3">
        <v>45689</v>
      </c>
      <c r="C280" s="2" t="s">
        <v>63</v>
      </c>
      <c r="D280" s="2" t="s">
        <v>55</v>
      </c>
      <c r="E280" s="2">
        <v>36832.33</v>
      </c>
      <c r="F280" s="2">
        <v>8001</v>
      </c>
      <c r="G280" s="2">
        <v>0</v>
      </c>
      <c r="H280" s="2">
        <v>19</v>
      </c>
      <c r="I280" s="2">
        <v>88.7</v>
      </c>
      <c r="J280" s="2">
        <v>3.39</v>
      </c>
      <c r="K280" s="2">
        <v>0</v>
      </c>
      <c r="L280" s="2">
        <v>4</v>
      </c>
      <c r="M280" s="2">
        <v>738548.42</v>
      </c>
      <c r="N280" s="2">
        <v>134282.76999999999</v>
      </c>
    </row>
    <row r="281" spans="1:14" x14ac:dyDescent="0.45">
      <c r="A281" s="2" t="s">
        <v>130</v>
      </c>
      <c r="B281" s="3">
        <v>45717</v>
      </c>
      <c r="C281" s="2" t="s">
        <v>63</v>
      </c>
      <c r="D281" s="2" t="s">
        <v>55</v>
      </c>
      <c r="E281" s="2">
        <v>48609.41</v>
      </c>
      <c r="F281" s="2">
        <v>9324</v>
      </c>
      <c r="G281" s="2">
        <v>0.21299999999999999</v>
      </c>
      <c r="H281" s="2">
        <v>18</v>
      </c>
      <c r="I281" s="2">
        <v>86.5</v>
      </c>
      <c r="J281" s="2">
        <v>1.44</v>
      </c>
      <c r="K281" s="2">
        <v>0</v>
      </c>
      <c r="L281" s="2">
        <v>3.9</v>
      </c>
      <c r="M281" s="2">
        <v>756619.77</v>
      </c>
      <c r="N281" s="2">
        <v>112057.69</v>
      </c>
    </row>
    <row r="282" spans="1:14" x14ac:dyDescent="0.45">
      <c r="A282" s="2" t="s">
        <v>130</v>
      </c>
      <c r="B282" s="3">
        <v>45748</v>
      </c>
      <c r="C282" s="2" t="s">
        <v>63</v>
      </c>
      <c r="D282" s="2" t="s">
        <v>55</v>
      </c>
      <c r="E282" s="2">
        <v>70284.06</v>
      </c>
      <c r="F282" s="2">
        <v>9109</v>
      </c>
      <c r="G282" s="2">
        <v>4.0000000000000001E-3</v>
      </c>
      <c r="H282" s="2">
        <v>23</v>
      </c>
      <c r="I282" s="2">
        <v>87</v>
      </c>
      <c r="J282" s="2">
        <v>3.65</v>
      </c>
      <c r="K282" s="2">
        <v>0</v>
      </c>
      <c r="L282" s="2">
        <v>3.7</v>
      </c>
      <c r="M282" s="2">
        <v>761122.42</v>
      </c>
      <c r="N282" s="2">
        <v>149802.04</v>
      </c>
    </row>
    <row r="283" spans="1:14" x14ac:dyDescent="0.45">
      <c r="A283" s="2" t="s">
        <v>131</v>
      </c>
      <c r="B283" s="3">
        <v>45658</v>
      </c>
      <c r="C283" s="2" t="s">
        <v>63</v>
      </c>
      <c r="D283" s="2" t="s">
        <v>57</v>
      </c>
      <c r="E283" s="2">
        <v>45940.39</v>
      </c>
      <c r="F283" s="2">
        <v>4022</v>
      </c>
      <c r="G283" s="2">
        <v>6.9000000000000006E-2</v>
      </c>
      <c r="H283" s="2">
        <v>10</v>
      </c>
      <c r="I283" s="2">
        <v>83</v>
      </c>
      <c r="J283" s="2">
        <v>1.23</v>
      </c>
      <c r="K283" s="2">
        <v>1</v>
      </c>
      <c r="L283" s="2">
        <v>3.8</v>
      </c>
      <c r="M283" s="2">
        <v>524899.56999999995</v>
      </c>
      <c r="N283" s="2">
        <v>63619.98</v>
      </c>
    </row>
    <row r="284" spans="1:14" x14ac:dyDescent="0.45">
      <c r="A284" s="2" t="s">
        <v>131</v>
      </c>
      <c r="B284" s="3">
        <v>45689</v>
      </c>
      <c r="C284" s="2" t="s">
        <v>63</v>
      </c>
      <c r="D284" s="2" t="s">
        <v>57</v>
      </c>
      <c r="E284" s="2">
        <v>34771.26</v>
      </c>
      <c r="F284" s="2">
        <v>4355</v>
      </c>
      <c r="G284" s="2">
        <v>5.0999999999999997E-2</v>
      </c>
      <c r="H284" s="2">
        <v>15</v>
      </c>
      <c r="I284" s="2">
        <v>87.9</v>
      </c>
      <c r="J284" s="2">
        <v>3.09</v>
      </c>
      <c r="K284" s="2">
        <v>0</v>
      </c>
      <c r="L284" s="2">
        <v>4</v>
      </c>
      <c r="M284" s="2">
        <v>555557.77</v>
      </c>
      <c r="N284" s="2">
        <v>86475.51</v>
      </c>
    </row>
    <row r="285" spans="1:14" x14ac:dyDescent="0.45">
      <c r="A285" s="2" t="s">
        <v>131</v>
      </c>
      <c r="B285" s="3">
        <v>45717</v>
      </c>
      <c r="C285" s="2" t="s">
        <v>63</v>
      </c>
      <c r="D285" s="2" t="s">
        <v>57</v>
      </c>
      <c r="E285" s="2">
        <v>66104.19</v>
      </c>
      <c r="F285" s="2">
        <v>5745</v>
      </c>
      <c r="G285" s="2">
        <v>7.0000000000000007E-2</v>
      </c>
      <c r="H285" s="2">
        <v>17</v>
      </c>
      <c r="I285" s="2">
        <v>95.8</v>
      </c>
      <c r="J285" s="2">
        <v>3.15</v>
      </c>
      <c r="K285" s="2">
        <v>0</v>
      </c>
      <c r="L285" s="2">
        <v>4</v>
      </c>
      <c r="M285" s="2">
        <v>714083.68</v>
      </c>
      <c r="N285" s="2">
        <v>127231.74</v>
      </c>
    </row>
    <row r="286" spans="1:14" x14ac:dyDescent="0.45">
      <c r="A286" s="2" t="s">
        <v>131</v>
      </c>
      <c r="B286" s="3">
        <v>45748</v>
      </c>
      <c r="C286" s="2" t="s">
        <v>63</v>
      </c>
      <c r="D286" s="2" t="s">
        <v>57</v>
      </c>
      <c r="E286" s="2">
        <v>18599.21</v>
      </c>
      <c r="F286" s="2">
        <v>3027</v>
      </c>
      <c r="G286" s="2">
        <v>0.122</v>
      </c>
      <c r="H286" s="2">
        <v>11</v>
      </c>
      <c r="I286" s="2">
        <v>80.900000000000006</v>
      </c>
      <c r="J286" s="2">
        <v>6.44</v>
      </c>
      <c r="K286" s="2">
        <v>0</v>
      </c>
      <c r="L286" s="2">
        <v>4.2</v>
      </c>
      <c r="M286" s="2">
        <v>497439.82</v>
      </c>
      <c r="N286" s="2">
        <v>93372.75</v>
      </c>
    </row>
    <row r="287" spans="1:14" x14ac:dyDescent="0.45">
      <c r="A287" s="2" t="s">
        <v>132</v>
      </c>
      <c r="B287" s="3">
        <v>45658</v>
      </c>
      <c r="C287" s="2" t="s">
        <v>66</v>
      </c>
      <c r="D287" s="2" t="s">
        <v>55</v>
      </c>
      <c r="E287" s="2">
        <v>60183.06</v>
      </c>
      <c r="F287" s="2">
        <v>5562</v>
      </c>
      <c r="G287" s="2">
        <v>8.9999999999999993E-3</v>
      </c>
      <c r="H287" s="2">
        <v>13</v>
      </c>
      <c r="I287" s="2">
        <v>86.3</v>
      </c>
      <c r="J287" s="2">
        <v>0.2</v>
      </c>
      <c r="K287" s="2">
        <v>1</v>
      </c>
      <c r="L287" s="2">
        <v>4.5</v>
      </c>
      <c r="M287" s="2">
        <v>636775.66</v>
      </c>
      <c r="N287" s="2">
        <v>122636.86</v>
      </c>
    </row>
    <row r="288" spans="1:14" x14ac:dyDescent="0.45">
      <c r="A288" s="2" t="s">
        <v>132</v>
      </c>
      <c r="B288" s="3">
        <v>45689</v>
      </c>
      <c r="C288" s="2" t="s">
        <v>66</v>
      </c>
      <c r="D288" s="2" t="s">
        <v>55</v>
      </c>
      <c r="E288" s="2">
        <v>74539.14</v>
      </c>
      <c r="F288" s="2">
        <v>4487</v>
      </c>
      <c r="G288" s="2">
        <v>0.14000000000000001</v>
      </c>
      <c r="H288" s="2">
        <v>10</v>
      </c>
      <c r="I288" s="2">
        <v>90.4</v>
      </c>
      <c r="J288" s="2">
        <v>0.59</v>
      </c>
      <c r="K288" s="2">
        <v>0</v>
      </c>
      <c r="L288" s="2">
        <v>4.5</v>
      </c>
      <c r="M288" s="2">
        <v>633009.53</v>
      </c>
      <c r="N288" s="2">
        <v>123782.67</v>
      </c>
    </row>
    <row r="289" spans="1:14" x14ac:dyDescent="0.45">
      <c r="A289" s="2" t="s">
        <v>132</v>
      </c>
      <c r="B289" s="3">
        <v>45717</v>
      </c>
      <c r="C289" s="2" t="s">
        <v>66</v>
      </c>
      <c r="D289" s="2" t="s">
        <v>55</v>
      </c>
      <c r="E289" s="2">
        <v>55371.97</v>
      </c>
      <c r="F289" s="2">
        <v>4162</v>
      </c>
      <c r="G289" s="2">
        <v>0.183</v>
      </c>
      <c r="H289" s="2">
        <v>11</v>
      </c>
      <c r="I289" s="2">
        <v>92</v>
      </c>
      <c r="J289" s="2">
        <v>0.2</v>
      </c>
      <c r="K289" s="2">
        <v>1</v>
      </c>
      <c r="L289" s="2">
        <v>4.2</v>
      </c>
      <c r="M289" s="2">
        <v>609949</v>
      </c>
      <c r="N289" s="2">
        <v>126789.25</v>
      </c>
    </row>
    <row r="290" spans="1:14" x14ac:dyDescent="0.45">
      <c r="A290" s="2" t="s">
        <v>132</v>
      </c>
      <c r="B290" s="3">
        <v>45748</v>
      </c>
      <c r="C290" s="2" t="s">
        <v>66</v>
      </c>
      <c r="D290" s="2" t="s">
        <v>55</v>
      </c>
      <c r="E290" s="2">
        <v>40928.69</v>
      </c>
      <c r="F290" s="2">
        <v>4094</v>
      </c>
      <c r="G290" s="2">
        <v>0.17399999999999999</v>
      </c>
      <c r="H290" s="2">
        <v>13</v>
      </c>
      <c r="I290" s="2">
        <v>82.4</v>
      </c>
      <c r="J290" s="2">
        <v>1.36</v>
      </c>
      <c r="K290" s="2">
        <v>0</v>
      </c>
      <c r="L290" s="2">
        <v>4.8</v>
      </c>
      <c r="M290" s="2">
        <v>548103.69999999995</v>
      </c>
      <c r="N290" s="2">
        <v>99905.52</v>
      </c>
    </row>
    <row r="291" spans="1:14" x14ac:dyDescent="0.45">
      <c r="A291" s="2" t="s">
        <v>133</v>
      </c>
      <c r="B291" s="3">
        <v>45658</v>
      </c>
      <c r="C291" s="2" t="s">
        <v>54</v>
      </c>
      <c r="D291" s="2" t="s">
        <v>55</v>
      </c>
      <c r="E291" s="2">
        <v>70012.41</v>
      </c>
      <c r="F291" s="2">
        <v>8484</v>
      </c>
      <c r="G291" s="2">
        <v>0.27300000000000002</v>
      </c>
      <c r="H291" s="2">
        <v>23</v>
      </c>
      <c r="I291" s="2">
        <v>72.900000000000006</v>
      </c>
      <c r="J291" s="2">
        <v>3.34</v>
      </c>
      <c r="K291" s="2">
        <v>0</v>
      </c>
      <c r="L291" s="2">
        <v>3.7</v>
      </c>
      <c r="M291" s="2">
        <v>729424.42</v>
      </c>
      <c r="N291" s="2">
        <v>75592.28</v>
      </c>
    </row>
    <row r="292" spans="1:14" x14ac:dyDescent="0.45">
      <c r="A292" s="2" t="s">
        <v>133</v>
      </c>
      <c r="B292" s="3">
        <v>45689</v>
      </c>
      <c r="C292" s="2" t="s">
        <v>54</v>
      </c>
      <c r="D292" s="2" t="s">
        <v>55</v>
      </c>
      <c r="E292" s="2">
        <v>68909.259999999995</v>
      </c>
      <c r="F292" s="2">
        <v>7794</v>
      </c>
      <c r="G292" s="2">
        <v>0.28399999999999997</v>
      </c>
      <c r="H292" s="2">
        <v>22</v>
      </c>
      <c r="I292" s="2">
        <v>89</v>
      </c>
      <c r="J292" s="2">
        <v>0.33</v>
      </c>
      <c r="K292" s="2">
        <v>0</v>
      </c>
      <c r="L292" s="2">
        <v>4</v>
      </c>
      <c r="M292" s="2">
        <v>696261.49</v>
      </c>
      <c r="N292" s="2">
        <v>72455.350000000006</v>
      </c>
    </row>
    <row r="293" spans="1:14" x14ac:dyDescent="0.45">
      <c r="A293" s="2" t="s">
        <v>133</v>
      </c>
      <c r="B293" s="3">
        <v>45717</v>
      </c>
      <c r="C293" s="2" t="s">
        <v>54</v>
      </c>
      <c r="D293" s="2" t="s">
        <v>55</v>
      </c>
      <c r="E293" s="2">
        <v>56737.3</v>
      </c>
      <c r="F293" s="2">
        <v>8300</v>
      </c>
      <c r="G293" s="2">
        <v>3.2000000000000001E-2</v>
      </c>
      <c r="H293" s="2">
        <v>21</v>
      </c>
      <c r="I293" s="2">
        <v>83.2</v>
      </c>
      <c r="J293" s="2">
        <v>3.44</v>
      </c>
      <c r="K293" s="2">
        <v>1</v>
      </c>
      <c r="L293" s="2">
        <v>4.3</v>
      </c>
      <c r="M293" s="2">
        <v>813316.71</v>
      </c>
      <c r="N293" s="2">
        <v>110077.42</v>
      </c>
    </row>
    <row r="294" spans="1:14" x14ac:dyDescent="0.45">
      <c r="A294" s="2" t="s">
        <v>133</v>
      </c>
      <c r="B294" s="3">
        <v>45748</v>
      </c>
      <c r="C294" s="2" t="s">
        <v>54</v>
      </c>
      <c r="D294" s="2" t="s">
        <v>55</v>
      </c>
      <c r="E294" s="2">
        <v>54080.91</v>
      </c>
      <c r="F294" s="2">
        <v>7083</v>
      </c>
      <c r="G294" s="2">
        <v>0</v>
      </c>
      <c r="H294" s="2">
        <v>15</v>
      </c>
      <c r="I294" s="2">
        <v>97</v>
      </c>
      <c r="J294" s="2">
        <v>5.33</v>
      </c>
      <c r="K294" s="2">
        <v>0</v>
      </c>
      <c r="L294" s="2">
        <v>4.0999999999999996</v>
      </c>
      <c r="M294" s="2">
        <v>702068.92</v>
      </c>
      <c r="N294" s="2">
        <v>111266.63</v>
      </c>
    </row>
    <row r="295" spans="1:14" x14ac:dyDescent="0.45">
      <c r="A295" s="2" t="s">
        <v>134</v>
      </c>
      <c r="B295" s="3">
        <v>45658</v>
      </c>
      <c r="C295" s="2" t="s">
        <v>66</v>
      </c>
      <c r="D295" s="2" t="s">
        <v>57</v>
      </c>
      <c r="E295" s="2">
        <v>51996.32</v>
      </c>
      <c r="F295" s="2">
        <v>3834</v>
      </c>
      <c r="G295" s="2">
        <v>9.6000000000000002E-2</v>
      </c>
      <c r="H295" s="2">
        <v>8</v>
      </c>
      <c r="I295" s="2">
        <v>86.7</v>
      </c>
      <c r="J295" s="2">
        <v>6.04</v>
      </c>
      <c r="K295" s="2">
        <v>0</v>
      </c>
      <c r="L295" s="2">
        <v>4.5</v>
      </c>
      <c r="M295" s="2">
        <v>546223.69999999995</v>
      </c>
      <c r="N295" s="2">
        <v>100769.17</v>
      </c>
    </row>
    <row r="296" spans="1:14" x14ac:dyDescent="0.45">
      <c r="A296" s="2" t="s">
        <v>134</v>
      </c>
      <c r="B296" s="3">
        <v>45689</v>
      </c>
      <c r="C296" s="2" t="s">
        <v>66</v>
      </c>
      <c r="D296" s="2" t="s">
        <v>57</v>
      </c>
      <c r="E296" s="2">
        <v>40102.879999999997</v>
      </c>
      <c r="F296" s="2">
        <v>2358</v>
      </c>
      <c r="G296" s="2">
        <v>0.11899999999999999</v>
      </c>
      <c r="H296" s="2">
        <v>9</v>
      </c>
      <c r="I296" s="2">
        <v>88.7</v>
      </c>
      <c r="J296" s="2">
        <v>1.6</v>
      </c>
      <c r="K296" s="2">
        <v>0</v>
      </c>
      <c r="L296" s="2">
        <v>4.2</v>
      </c>
      <c r="M296" s="2">
        <v>533121.26</v>
      </c>
      <c r="N296" s="2">
        <v>55063.39</v>
      </c>
    </row>
    <row r="297" spans="1:14" x14ac:dyDescent="0.45">
      <c r="A297" s="2" t="s">
        <v>134</v>
      </c>
      <c r="B297" s="3">
        <v>45717</v>
      </c>
      <c r="C297" s="2" t="s">
        <v>66</v>
      </c>
      <c r="D297" s="2" t="s">
        <v>57</v>
      </c>
      <c r="E297" s="2">
        <v>59825.51</v>
      </c>
      <c r="F297" s="2">
        <v>1231</v>
      </c>
      <c r="G297" s="2">
        <v>0.214</v>
      </c>
      <c r="H297" s="2">
        <v>10</v>
      </c>
      <c r="I297" s="2">
        <v>84.8</v>
      </c>
      <c r="J297" s="2">
        <v>8.9600000000000009</v>
      </c>
      <c r="K297" s="2">
        <v>0</v>
      </c>
      <c r="L297" s="2">
        <v>4.7</v>
      </c>
      <c r="M297" s="2">
        <v>498970.32</v>
      </c>
      <c r="N297" s="2">
        <v>69656.7</v>
      </c>
    </row>
    <row r="298" spans="1:14" x14ac:dyDescent="0.45">
      <c r="A298" s="2" t="s">
        <v>134</v>
      </c>
      <c r="B298" s="3">
        <v>45748</v>
      </c>
      <c r="C298" s="2" t="s">
        <v>66</v>
      </c>
      <c r="D298" s="2" t="s">
        <v>57</v>
      </c>
      <c r="E298" s="2">
        <v>27398.28</v>
      </c>
      <c r="F298" s="2">
        <v>1723</v>
      </c>
      <c r="G298" s="2">
        <v>0.17100000000000001</v>
      </c>
      <c r="H298" s="2">
        <v>9</v>
      </c>
      <c r="I298" s="2">
        <v>81</v>
      </c>
      <c r="J298" s="2">
        <v>0.74</v>
      </c>
      <c r="K298" s="2">
        <v>0</v>
      </c>
      <c r="L298" s="2">
        <v>4.5999999999999996</v>
      </c>
      <c r="M298" s="2">
        <v>487738.26</v>
      </c>
      <c r="N298" s="2">
        <v>96435.6</v>
      </c>
    </row>
    <row r="299" spans="1:14" x14ac:dyDescent="0.45">
      <c r="A299" s="2" t="s">
        <v>135</v>
      </c>
      <c r="B299" s="3">
        <v>45658</v>
      </c>
      <c r="C299" s="2" t="s">
        <v>66</v>
      </c>
      <c r="D299" s="2" t="s">
        <v>57</v>
      </c>
      <c r="E299" s="2">
        <v>55599.56</v>
      </c>
      <c r="F299" s="2">
        <v>5896</v>
      </c>
      <c r="G299" s="2">
        <v>3.5999999999999997E-2</v>
      </c>
      <c r="H299" s="2">
        <v>12</v>
      </c>
      <c r="I299" s="2">
        <v>93.1</v>
      </c>
      <c r="J299" s="2">
        <v>6.13</v>
      </c>
      <c r="K299" s="2">
        <v>0</v>
      </c>
      <c r="L299" s="2">
        <v>3.3</v>
      </c>
      <c r="M299" s="2">
        <v>668459.37</v>
      </c>
      <c r="N299" s="2">
        <v>126435.42</v>
      </c>
    </row>
    <row r="300" spans="1:14" x14ac:dyDescent="0.45">
      <c r="A300" s="2" t="s">
        <v>135</v>
      </c>
      <c r="B300" s="3">
        <v>45689</v>
      </c>
      <c r="C300" s="2" t="s">
        <v>66</v>
      </c>
      <c r="D300" s="2" t="s">
        <v>57</v>
      </c>
      <c r="E300" s="2">
        <v>55477.61</v>
      </c>
      <c r="F300" s="2">
        <v>5903</v>
      </c>
      <c r="G300" s="2">
        <v>0.10199999999999999</v>
      </c>
      <c r="H300" s="2">
        <v>14</v>
      </c>
      <c r="I300" s="2">
        <v>96.2</v>
      </c>
      <c r="J300" s="2">
        <v>1.41</v>
      </c>
      <c r="K300" s="2">
        <v>0</v>
      </c>
      <c r="L300" s="2">
        <v>3.3</v>
      </c>
      <c r="M300" s="2">
        <v>763162.45</v>
      </c>
      <c r="N300" s="2">
        <v>162524.04999999999</v>
      </c>
    </row>
    <row r="301" spans="1:14" x14ac:dyDescent="0.45">
      <c r="A301" s="2" t="s">
        <v>135</v>
      </c>
      <c r="B301" s="3">
        <v>45717</v>
      </c>
      <c r="C301" s="2" t="s">
        <v>66</v>
      </c>
      <c r="D301" s="2" t="s">
        <v>57</v>
      </c>
      <c r="E301" s="2">
        <v>46174.7</v>
      </c>
      <c r="F301" s="2">
        <v>4898</v>
      </c>
      <c r="G301" s="2">
        <v>0.114</v>
      </c>
      <c r="H301" s="2">
        <v>11</v>
      </c>
      <c r="I301" s="2">
        <v>91.7</v>
      </c>
      <c r="J301" s="2">
        <v>3.75</v>
      </c>
      <c r="K301" s="2">
        <v>0</v>
      </c>
      <c r="L301" s="2">
        <v>3.1</v>
      </c>
      <c r="M301" s="2">
        <v>599017.32999999996</v>
      </c>
      <c r="N301" s="2">
        <v>134009.92000000001</v>
      </c>
    </row>
    <row r="302" spans="1:14" x14ac:dyDescent="0.45">
      <c r="A302" s="2" t="s">
        <v>135</v>
      </c>
      <c r="B302" s="3">
        <v>45748</v>
      </c>
      <c r="C302" s="2" t="s">
        <v>66</v>
      </c>
      <c r="D302" s="2" t="s">
        <v>57</v>
      </c>
      <c r="E302" s="2">
        <v>24362.98</v>
      </c>
      <c r="F302" s="2">
        <v>1462</v>
      </c>
      <c r="G302" s="2">
        <v>0.11700000000000001</v>
      </c>
      <c r="H302" s="2">
        <v>6</v>
      </c>
      <c r="I302" s="2">
        <v>89.3</v>
      </c>
      <c r="J302" s="2">
        <v>15.06</v>
      </c>
      <c r="K302" s="2">
        <v>0</v>
      </c>
      <c r="L302" s="2">
        <v>3.2</v>
      </c>
      <c r="M302" s="2">
        <v>401582.58</v>
      </c>
      <c r="N302" s="2">
        <v>68454.929999999993</v>
      </c>
    </row>
    <row r="303" spans="1:14" x14ac:dyDescent="0.45">
      <c r="A303" s="2" t="s">
        <v>136</v>
      </c>
      <c r="B303" s="3">
        <v>45658</v>
      </c>
      <c r="C303" s="2" t="s">
        <v>59</v>
      </c>
      <c r="D303" s="2" t="s">
        <v>67</v>
      </c>
      <c r="E303" s="2">
        <v>40647.67</v>
      </c>
      <c r="F303" s="2">
        <v>8252</v>
      </c>
      <c r="G303" s="2">
        <v>0.14099999999999999</v>
      </c>
      <c r="H303" s="2">
        <v>22</v>
      </c>
      <c r="I303" s="2">
        <v>88.2</v>
      </c>
      <c r="J303" s="2">
        <v>5.07</v>
      </c>
      <c r="K303" s="2">
        <v>1</v>
      </c>
      <c r="L303" s="2">
        <v>4.0999999999999996</v>
      </c>
      <c r="M303" s="2">
        <v>703812.99</v>
      </c>
      <c r="N303" s="2">
        <v>133577.98000000001</v>
      </c>
    </row>
    <row r="304" spans="1:14" x14ac:dyDescent="0.45">
      <c r="A304" s="2" t="s">
        <v>136</v>
      </c>
      <c r="B304" s="3">
        <v>45689</v>
      </c>
      <c r="C304" s="2" t="s">
        <v>59</v>
      </c>
      <c r="D304" s="2" t="s">
        <v>67</v>
      </c>
      <c r="E304" s="2">
        <v>63986.98</v>
      </c>
      <c r="F304" s="2">
        <v>7989</v>
      </c>
      <c r="G304" s="2">
        <v>7.3999999999999996E-2</v>
      </c>
      <c r="H304" s="2">
        <v>20</v>
      </c>
      <c r="I304" s="2">
        <v>83.3</v>
      </c>
      <c r="J304" s="2">
        <v>3.6</v>
      </c>
      <c r="K304" s="2">
        <v>0</v>
      </c>
      <c r="L304" s="2">
        <v>3.7</v>
      </c>
      <c r="M304" s="2">
        <v>724346.73</v>
      </c>
      <c r="N304" s="2">
        <v>155013.91</v>
      </c>
    </row>
    <row r="305" spans="1:14" x14ac:dyDescent="0.45">
      <c r="A305" s="2" t="s">
        <v>136</v>
      </c>
      <c r="B305" s="3">
        <v>45717</v>
      </c>
      <c r="C305" s="2" t="s">
        <v>59</v>
      </c>
      <c r="D305" s="2" t="s">
        <v>67</v>
      </c>
      <c r="E305" s="2">
        <v>52843.75</v>
      </c>
      <c r="F305" s="2">
        <v>8268</v>
      </c>
      <c r="G305" s="2">
        <v>0.13800000000000001</v>
      </c>
      <c r="H305" s="2">
        <v>19</v>
      </c>
      <c r="I305" s="2">
        <v>87.3</v>
      </c>
      <c r="J305" s="2">
        <v>4.3899999999999997</v>
      </c>
      <c r="K305" s="2">
        <v>1</v>
      </c>
      <c r="L305" s="2">
        <v>4.7</v>
      </c>
      <c r="M305" s="2">
        <v>730890.01</v>
      </c>
      <c r="N305" s="2">
        <v>105502.56</v>
      </c>
    </row>
    <row r="306" spans="1:14" x14ac:dyDescent="0.45">
      <c r="A306" s="2" t="s">
        <v>136</v>
      </c>
      <c r="B306" s="3">
        <v>45748</v>
      </c>
      <c r="C306" s="2" t="s">
        <v>59</v>
      </c>
      <c r="D306" s="2" t="s">
        <v>67</v>
      </c>
      <c r="E306" s="2">
        <v>31997.25</v>
      </c>
      <c r="F306" s="2">
        <v>8183</v>
      </c>
      <c r="G306" s="2">
        <v>0.19800000000000001</v>
      </c>
      <c r="H306" s="2">
        <v>18</v>
      </c>
      <c r="I306" s="2">
        <v>93</v>
      </c>
      <c r="J306" s="2">
        <v>2.79</v>
      </c>
      <c r="K306" s="2">
        <v>0</v>
      </c>
      <c r="L306" s="2">
        <v>4.2</v>
      </c>
      <c r="M306" s="2">
        <v>780580.95</v>
      </c>
      <c r="N306" s="2">
        <v>138144.46</v>
      </c>
    </row>
    <row r="307" spans="1:14" x14ac:dyDescent="0.45">
      <c r="A307" s="2" t="s">
        <v>137</v>
      </c>
      <c r="B307" s="3">
        <v>45658</v>
      </c>
      <c r="C307" s="2" t="s">
        <v>63</v>
      </c>
      <c r="D307" s="2" t="s">
        <v>55</v>
      </c>
      <c r="E307" s="2">
        <v>54948.02</v>
      </c>
      <c r="F307" s="2">
        <v>6534</v>
      </c>
      <c r="G307" s="2">
        <v>0.183</v>
      </c>
      <c r="H307" s="2">
        <v>14</v>
      </c>
      <c r="I307" s="2">
        <v>94.5</v>
      </c>
      <c r="J307" s="2">
        <v>1.56</v>
      </c>
      <c r="K307" s="2">
        <v>0</v>
      </c>
      <c r="L307" s="2">
        <v>4</v>
      </c>
      <c r="M307" s="2">
        <v>727957.48</v>
      </c>
      <c r="N307" s="2">
        <v>74805.23</v>
      </c>
    </row>
    <row r="308" spans="1:14" x14ac:dyDescent="0.45">
      <c r="A308" s="2" t="s">
        <v>137</v>
      </c>
      <c r="B308" s="3">
        <v>45689</v>
      </c>
      <c r="C308" s="2" t="s">
        <v>63</v>
      </c>
      <c r="D308" s="2" t="s">
        <v>55</v>
      </c>
      <c r="E308" s="2">
        <v>46146.239999999998</v>
      </c>
      <c r="F308" s="2">
        <v>5804</v>
      </c>
      <c r="G308" s="2">
        <v>4.7E-2</v>
      </c>
      <c r="H308" s="2">
        <v>16</v>
      </c>
      <c r="I308" s="2">
        <v>86.9</v>
      </c>
      <c r="J308" s="2">
        <v>15.82</v>
      </c>
      <c r="K308" s="2">
        <v>0</v>
      </c>
      <c r="L308" s="2">
        <v>3.8</v>
      </c>
      <c r="M308" s="2">
        <v>538376</v>
      </c>
      <c r="N308" s="2">
        <v>87605.62</v>
      </c>
    </row>
    <row r="309" spans="1:14" x14ac:dyDescent="0.45">
      <c r="A309" s="2" t="s">
        <v>137</v>
      </c>
      <c r="B309" s="3">
        <v>45717</v>
      </c>
      <c r="C309" s="2" t="s">
        <v>63</v>
      </c>
      <c r="D309" s="2" t="s">
        <v>55</v>
      </c>
      <c r="E309" s="2">
        <v>22387.26</v>
      </c>
      <c r="F309" s="2">
        <v>6301</v>
      </c>
      <c r="G309" s="2">
        <v>0.14599999999999999</v>
      </c>
      <c r="H309" s="2">
        <v>14</v>
      </c>
      <c r="I309" s="2">
        <v>85.9</v>
      </c>
      <c r="J309" s="2">
        <v>1.17</v>
      </c>
      <c r="K309" s="2">
        <v>1</v>
      </c>
      <c r="L309" s="2">
        <v>3.7</v>
      </c>
      <c r="M309" s="2">
        <v>665342.49</v>
      </c>
      <c r="N309" s="2">
        <v>93441.81</v>
      </c>
    </row>
    <row r="310" spans="1:14" x14ac:dyDescent="0.45">
      <c r="A310" s="2" t="s">
        <v>137</v>
      </c>
      <c r="B310" s="3">
        <v>45748</v>
      </c>
      <c r="C310" s="2" t="s">
        <v>63</v>
      </c>
      <c r="D310" s="2" t="s">
        <v>55</v>
      </c>
      <c r="E310" s="2">
        <v>60684.05</v>
      </c>
      <c r="F310" s="2">
        <v>6399</v>
      </c>
      <c r="G310" s="2">
        <v>7.4999999999999997E-2</v>
      </c>
      <c r="H310" s="2">
        <v>16</v>
      </c>
      <c r="I310" s="2">
        <v>99</v>
      </c>
      <c r="J310" s="2">
        <v>3.82</v>
      </c>
      <c r="K310" s="2">
        <v>0</v>
      </c>
      <c r="L310" s="2">
        <v>3.5</v>
      </c>
      <c r="M310" s="2">
        <v>651164.18000000005</v>
      </c>
      <c r="N310" s="2">
        <v>109466.5</v>
      </c>
    </row>
    <row r="311" spans="1:14" x14ac:dyDescent="0.45">
      <c r="A311" s="2" t="s">
        <v>138</v>
      </c>
      <c r="B311" s="3">
        <v>45658</v>
      </c>
      <c r="C311" s="2" t="s">
        <v>63</v>
      </c>
      <c r="D311" s="2" t="s">
        <v>57</v>
      </c>
      <c r="E311" s="2">
        <v>48465.599999999999</v>
      </c>
      <c r="F311" s="2">
        <v>5759</v>
      </c>
      <c r="G311" s="2">
        <v>0.154</v>
      </c>
      <c r="H311" s="2">
        <v>13</v>
      </c>
      <c r="I311" s="2">
        <v>87.5</v>
      </c>
      <c r="J311" s="2">
        <v>4.1399999999999997</v>
      </c>
      <c r="K311" s="2">
        <v>0</v>
      </c>
      <c r="L311" s="2">
        <v>4</v>
      </c>
      <c r="M311" s="2">
        <v>628538.30000000005</v>
      </c>
      <c r="N311" s="2">
        <v>112509.15</v>
      </c>
    </row>
    <row r="312" spans="1:14" x14ac:dyDescent="0.45">
      <c r="A312" s="2" t="s">
        <v>138</v>
      </c>
      <c r="B312" s="3">
        <v>45689</v>
      </c>
      <c r="C312" s="2" t="s">
        <v>63</v>
      </c>
      <c r="D312" s="2" t="s">
        <v>57</v>
      </c>
      <c r="E312" s="2">
        <v>23702.38</v>
      </c>
      <c r="F312" s="2">
        <v>5285</v>
      </c>
      <c r="G312" s="2">
        <v>0.16700000000000001</v>
      </c>
      <c r="H312" s="2">
        <v>14</v>
      </c>
      <c r="I312" s="2">
        <v>79.7</v>
      </c>
      <c r="J312" s="2">
        <v>1.1000000000000001</v>
      </c>
      <c r="K312" s="2">
        <v>0</v>
      </c>
      <c r="L312" s="2">
        <v>4.3</v>
      </c>
      <c r="M312" s="2">
        <v>536524.84</v>
      </c>
      <c r="N312" s="2">
        <v>92752.94</v>
      </c>
    </row>
    <row r="313" spans="1:14" x14ac:dyDescent="0.45">
      <c r="A313" s="2" t="s">
        <v>138</v>
      </c>
      <c r="B313" s="3">
        <v>45717</v>
      </c>
      <c r="C313" s="2" t="s">
        <v>63</v>
      </c>
      <c r="D313" s="2" t="s">
        <v>57</v>
      </c>
      <c r="E313" s="2">
        <v>54322.94</v>
      </c>
      <c r="F313" s="2">
        <v>5434</v>
      </c>
      <c r="G313" s="2">
        <v>0.2</v>
      </c>
      <c r="H313" s="2">
        <v>13</v>
      </c>
      <c r="I313" s="2">
        <v>85.7</v>
      </c>
      <c r="J313" s="2">
        <v>10.6</v>
      </c>
      <c r="K313" s="2">
        <v>0</v>
      </c>
      <c r="L313" s="2">
        <v>4.2</v>
      </c>
      <c r="M313" s="2">
        <v>621677.30000000005</v>
      </c>
      <c r="N313" s="2">
        <v>105192.52</v>
      </c>
    </row>
    <row r="314" spans="1:14" x14ac:dyDescent="0.45">
      <c r="A314" s="2" t="s">
        <v>138</v>
      </c>
      <c r="B314" s="3">
        <v>45748</v>
      </c>
      <c r="C314" s="2" t="s">
        <v>63</v>
      </c>
      <c r="D314" s="2" t="s">
        <v>57</v>
      </c>
      <c r="E314" s="2">
        <v>86026.58</v>
      </c>
      <c r="F314" s="2">
        <v>7479</v>
      </c>
      <c r="G314" s="2">
        <v>0.14199999999999999</v>
      </c>
      <c r="H314" s="2">
        <v>20</v>
      </c>
      <c r="I314" s="2">
        <v>89</v>
      </c>
      <c r="J314" s="2">
        <v>0.9</v>
      </c>
      <c r="K314" s="2">
        <v>0</v>
      </c>
      <c r="L314" s="2"/>
      <c r="M314" s="2">
        <v>771129.07</v>
      </c>
      <c r="N314" s="2">
        <v>116851.13</v>
      </c>
    </row>
    <row r="315" spans="1:14" x14ac:dyDescent="0.45">
      <c r="A315" s="2" t="s">
        <v>139</v>
      </c>
      <c r="B315" s="3">
        <v>45658</v>
      </c>
      <c r="C315" s="2" t="s">
        <v>59</v>
      </c>
      <c r="D315" s="2" t="s">
        <v>55</v>
      </c>
      <c r="E315" s="2">
        <v>78967.520000000004</v>
      </c>
      <c r="F315" s="2">
        <v>6164</v>
      </c>
      <c r="G315" s="2">
        <v>2.1000000000000001E-2</v>
      </c>
      <c r="H315" s="2">
        <v>16</v>
      </c>
      <c r="I315" s="2">
        <v>85.5</v>
      </c>
      <c r="J315" s="2">
        <v>0.2</v>
      </c>
      <c r="K315" s="2">
        <v>0</v>
      </c>
      <c r="L315" s="2">
        <v>3.4</v>
      </c>
      <c r="M315" s="2">
        <v>702052.47</v>
      </c>
      <c r="N315" s="2">
        <v>121732.51</v>
      </c>
    </row>
    <row r="316" spans="1:14" x14ac:dyDescent="0.45">
      <c r="A316" s="2" t="s">
        <v>139</v>
      </c>
      <c r="B316" s="3">
        <v>45689</v>
      </c>
      <c r="C316" s="2" t="s">
        <v>59</v>
      </c>
      <c r="D316" s="2" t="s">
        <v>55</v>
      </c>
      <c r="E316" s="2">
        <v>46767.99</v>
      </c>
      <c r="F316" s="2">
        <v>7973</v>
      </c>
      <c r="G316" s="2">
        <v>0.183</v>
      </c>
      <c r="H316" s="2">
        <v>18</v>
      </c>
      <c r="I316" s="2">
        <v>94.8</v>
      </c>
      <c r="J316" s="2">
        <v>4.67</v>
      </c>
      <c r="K316" s="2">
        <v>0</v>
      </c>
      <c r="L316" s="2"/>
      <c r="M316" s="2">
        <v>688368.46</v>
      </c>
      <c r="N316" s="2">
        <v>93588.42</v>
      </c>
    </row>
    <row r="317" spans="1:14" x14ac:dyDescent="0.45">
      <c r="A317" s="2" t="s">
        <v>139</v>
      </c>
      <c r="B317" s="3">
        <v>45717</v>
      </c>
      <c r="C317" s="2" t="s">
        <v>59</v>
      </c>
      <c r="D317" s="2" t="s">
        <v>55</v>
      </c>
      <c r="E317" s="2">
        <v>62507.16</v>
      </c>
      <c r="F317" s="2">
        <v>6000</v>
      </c>
      <c r="G317" s="2">
        <v>9.0999999999999998E-2</v>
      </c>
      <c r="H317" s="2">
        <v>14</v>
      </c>
      <c r="I317" s="2">
        <v>98.2</v>
      </c>
      <c r="J317" s="2">
        <v>4.38</v>
      </c>
      <c r="K317" s="2">
        <v>1</v>
      </c>
      <c r="L317" s="2">
        <v>3.9</v>
      </c>
      <c r="M317" s="2">
        <v>712375.77</v>
      </c>
      <c r="N317" s="2">
        <v>104171.53</v>
      </c>
    </row>
    <row r="318" spans="1:14" x14ac:dyDescent="0.45">
      <c r="A318" s="2" t="s">
        <v>139</v>
      </c>
      <c r="B318" s="3">
        <v>45748</v>
      </c>
      <c r="C318" s="2" t="s">
        <v>59</v>
      </c>
      <c r="D318" s="2" t="s">
        <v>55</v>
      </c>
      <c r="E318" s="2">
        <v>66456.28</v>
      </c>
      <c r="F318" s="2">
        <v>9967</v>
      </c>
      <c r="G318" s="2">
        <v>0.108</v>
      </c>
      <c r="H318" s="2">
        <v>20</v>
      </c>
      <c r="I318" s="2">
        <v>94.7</v>
      </c>
      <c r="J318" s="2">
        <v>4.4800000000000004</v>
      </c>
      <c r="K318" s="2">
        <v>0</v>
      </c>
      <c r="L318" s="2">
        <v>4.2</v>
      </c>
      <c r="M318" s="2">
        <v>844710.67</v>
      </c>
      <c r="N318" s="2">
        <v>137140.18</v>
      </c>
    </row>
    <row r="319" spans="1:14" x14ac:dyDescent="0.45">
      <c r="A319" s="2" t="s">
        <v>140</v>
      </c>
      <c r="B319" s="3">
        <v>45658</v>
      </c>
      <c r="C319" s="2" t="s">
        <v>54</v>
      </c>
      <c r="D319" s="2" t="s">
        <v>55</v>
      </c>
      <c r="E319" s="2">
        <v>76614.320000000007</v>
      </c>
      <c r="F319" s="2">
        <v>5639</v>
      </c>
      <c r="G319" s="2">
        <v>0.17399999999999999</v>
      </c>
      <c r="H319" s="2">
        <v>15</v>
      </c>
      <c r="I319" s="2">
        <v>92.9</v>
      </c>
      <c r="J319" s="2">
        <v>1.02</v>
      </c>
      <c r="K319" s="2">
        <v>1</v>
      </c>
      <c r="L319" s="2">
        <v>4</v>
      </c>
      <c r="M319" s="2">
        <v>620264.19999999995</v>
      </c>
      <c r="N319" s="2">
        <v>91365.64</v>
      </c>
    </row>
    <row r="320" spans="1:14" x14ac:dyDescent="0.45">
      <c r="A320" s="2" t="s">
        <v>140</v>
      </c>
      <c r="B320" s="3">
        <v>45689</v>
      </c>
      <c r="C320" s="2" t="s">
        <v>54</v>
      </c>
      <c r="D320" s="2" t="s">
        <v>55</v>
      </c>
      <c r="E320" s="2">
        <v>24088.06</v>
      </c>
      <c r="F320" s="2">
        <v>3466</v>
      </c>
      <c r="G320" s="2">
        <v>0</v>
      </c>
      <c r="H320" s="2">
        <v>11</v>
      </c>
      <c r="I320" s="2">
        <v>88</v>
      </c>
      <c r="J320" s="2">
        <v>0.2</v>
      </c>
      <c r="K320" s="2">
        <v>0</v>
      </c>
      <c r="L320" s="2">
        <v>3.8</v>
      </c>
      <c r="M320" s="2">
        <v>536845.42000000004</v>
      </c>
      <c r="N320" s="2">
        <v>107473.75</v>
      </c>
    </row>
    <row r="321" spans="1:14" x14ac:dyDescent="0.45">
      <c r="A321" s="2" t="s">
        <v>140</v>
      </c>
      <c r="B321" s="3">
        <v>45717</v>
      </c>
      <c r="C321" s="2" t="s">
        <v>54</v>
      </c>
      <c r="D321" s="2" t="s">
        <v>55</v>
      </c>
      <c r="E321" s="2">
        <v>81902.58</v>
      </c>
      <c r="F321" s="2">
        <v>7775</v>
      </c>
      <c r="G321" s="2">
        <v>0.215</v>
      </c>
      <c r="H321" s="2">
        <v>20</v>
      </c>
      <c r="I321" s="2">
        <v>85.2</v>
      </c>
      <c r="J321" s="2">
        <v>4.8899999999999997</v>
      </c>
      <c r="K321" s="2">
        <v>1</v>
      </c>
      <c r="L321" s="2">
        <v>4.2</v>
      </c>
      <c r="M321" s="2">
        <v>726776.22</v>
      </c>
      <c r="N321" s="2">
        <v>90804.49</v>
      </c>
    </row>
    <row r="322" spans="1:14" x14ac:dyDescent="0.45">
      <c r="A322" s="2" t="s">
        <v>140</v>
      </c>
      <c r="B322" s="3">
        <v>45748</v>
      </c>
      <c r="C322" s="2" t="s">
        <v>54</v>
      </c>
      <c r="D322" s="2" t="s">
        <v>55</v>
      </c>
      <c r="E322" s="2">
        <v>40553.11</v>
      </c>
      <c r="F322" s="2">
        <v>5317</v>
      </c>
      <c r="G322" s="2">
        <v>0.16500000000000001</v>
      </c>
      <c r="H322" s="2">
        <v>17</v>
      </c>
      <c r="I322" s="2">
        <v>84.3</v>
      </c>
      <c r="J322" s="2">
        <v>11.82</v>
      </c>
      <c r="K322" s="2">
        <v>0</v>
      </c>
      <c r="L322" s="2">
        <v>4.0999999999999996</v>
      </c>
      <c r="M322" s="2">
        <v>559660.84</v>
      </c>
      <c r="N322" s="2">
        <v>71443.61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8"/>
  <sheetViews>
    <sheetView tabSelected="1" topLeftCell="E1" workbookViewId="0">
      <pane ySplit="2" topLeftCell="A291" activePane="bottomLeft" state="frozen"/>
      <selection pane="bottomLeft" activeCell="M2" sqref="M2:M308"/>
    </sheetView>
  </sheetViews>
  <sheetFormatPr defaultRowHeight="14.25" x14ac:dyDescent="0.45"/>
  <cols>
    <col min="1" max="1" width="12" customWidth="1"/>
    <col min="2" max="2" width="16.59765625" bestFit="1" customWidth="1"/>
    <col min="3" max="3" width="10" customWidth="1"/>
    <col min="4" max="4" width="14" customWidth="1"/>
    <col min="5" max="5" width="18" customWidth="1"/>
    <col min="6" max="6" width="10" customWidth="1"/>
    <col min="7" max="7" width="18" customWidth="1"/>
    <col min="8" max="8" width="12" customWidth="1"/>
    <col min="9" max="9" width="26" customWidth="1"/>
    <col min="10" max="10" width="22" customWidth="1"/>
    <col min="11" max="11" width="14" customWidth="1"/>
    <col min="12" max="14" width="16" customWidth="1"/>
  </cols>
  <sheetData>
    <row r="1" spans="1:14" ht="15.4" customHeight="1" x14ac:dyDescent="0.45">
      <c r="A1" s="35" t="s">
        <v>141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35" customHeight="1" x14ac:dyDescent="0.4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</row>
    <row r="3" spans="1:14" x14ac:dyDescent="0.45">
      <c r="A3" s="2" t="s">
        <v>53</v>
      </c>
      <c r="B3" s="3">
        <v>45658</v>
      </c>
      <c r="C3" s="2" t="s">
        <v>54</v>
      </c>
      <c r="D3" s="2" t="s">
        <v>55</v>
      </c>
      <c r="E3" s="2">
        <v>70389.11</v>
      </c>
      <c r="F3" s="2">
        <v>8302</v>
      </c>
      <c r="G3" s="2">
        <v>4.2000000000000003E-2</v>
      </c>
      <c r="H3" s="2">
        <v>17</v>
      </c>
      <c r="I3" s="2">
        <v>75</v>
      </c>
      <c r="J3" s="2">
        <v>5.28</v>
      </c>
      <c r="K3" s="2">
        <v>1</v>
      </c>
      <c r="L3" s="2">
        <v>3.1</v>
      </c>
      <c r="M3" s="2">
        <v>658832.62</v>
      </c>
      <c r="N3" s="2">
        <v>84349.93</v>
      </c>
    </row>
    <row r="4" spans="1:14" x14ac:dyDescent="0.45">
      <c r="A4" s="2" t="s">
        <v>53</v>
      </c>
      <c r="B4" s="3">
        <v>45689</v>
      </c>
      <c r="C4" s="2" t="s">
        <v>54</v>
      </c>
      <c r="D4" s="2" t="s">
        <v>55</v>
      </c>
      <c r="E4" s="2">
        <v>43827.89</v>
      </c>
      <c r="F4" s="2">
        <v>8487</v>
      </c>
      <c r="G4" s="2">
        <v>0.16800000000000001</v>
      </c>
      <c r="H4" s="2">
        <v>23</v>
      </c>
      <c r="I4" s="2">
        <v>84.4</v>
      </c>
      <c r="J4" s="2">
        <v>4.3099999999999996</v>
      </c>
      <c r="K4" s="2">
        <v>0</v>
      </c>
      <c r="L4" s="2">
        <v>2.8</v>
      </c>
      <c r="M4" s="2">
        <v>634436</v>
      </c>
      <c r="N4" s="2">
        <v>106130.54</v>
      </c>
    </row>
    <row r="5" spans="1:14" x14ac:dyDescent="0.45">
      <c r="A5" s="2" t="s">
        <v>53</v>
      </c>
      <c r="B5" s="3">
        <v>45717</v>
      </c>
      <c r="C5" s="2" t="s">
        <v>54</v>
      </c>
      <c r="D5" s="2" t="s">
        <v>55</v>
      </c>
      <c r="E5" s="2">
        <v>59921.75</v>
      </c>
      <c r="F5" s="2">
        <v>9113</v>
      </c>
      <c r="G5" s="2">
        <v>0.13300000000000001</v>
      </c>
      <c r="H5" s="2">
        <v>20</v>
      </c>
      <c r="I5" s="2">
        <v>88</v>
      </c>
      <c r="J5" s="2">
        <v>12</v>
      </c>
      <c r="K5" s="2">
        <v>0</v>
      </c>
      <c r="L5" s="2">
        <v>3.2</v>
      </c>
      <c r="M5" s="2">
        <v>678722.06</v>
      </c>
      <c r="N5" s="2">
        <v>101883.86</v>
      </c>
    </row>
    <row r="6" spans="1:14" x14ac:dyDescent="0.45">
      <c r="A6" s="2" t="s">
        <v>53</v>
      </c>
      <c r="B6" s="3">
        <v>45748</v>
      </c>
      <c r="C6" s="2" t="s">
        <v>54</v>
      </c>
      <c r="D6" s="2" t="s">
        <v>55</v>
      </c>
      <c r="E6" s="2">
        <v>56856.63</v>
      </c>
      <c r="F6" s="2">
        <v>9431</v>
      </c>
      <c r="G6" s="2">
        <v>0.14199999999999999</v>
      </c>
      <c r="H6" s="2">
        <v>23</v>
      </c>
      <c r="I6" s="2">
        <v>86.9</v>
      </c>
      <c r="J6" s="2">
        <v>4.97</v>
      </c>
      <c r="K6" s="2">
        <v>0</v>
      </c>
      <c r="L6" s="2">
        <v>3.4</v>
      </c>
      <c r="M6" s="2">
        <v>658920.30000000005</v>
      </c>
      <c r="N6" s="2">
        <v>97910.37</v>
      </c>
    </row>
    <row r="7" spans="1:14" x14ac:dyDescent="0.45">
      <c r="A7" s="2" t="s">
        <v>56</v>
      </c>
      <c r="B7" s="3">
        <v>45658</v>
      </c>
      <c r="C7" s="2" t="s">
        <v>54</v>
      </c>
      <c r="D7" s="2" t="s">
        <v>57</v>
      </c>
      <c r="E7" s="2">
        <v>48412.639999999999</v>
      </c>
      <c r="F7" s="2">
        <v>9545</v>
      </c>
      <c r="G7" s="2">
        <v>0.23100000000000001</v>
      </c>
      <c r="H7" s="2">
        <v>21</v>
      </c>
      <c r="I7" s="2">
        <v>97.6</v>
      </c>
      <c r="J7" s="2">
        <v>6.94</v>
      </c>
      <c r="K7" s="2">
        <v>1</v>
      </c>
      <c r="L7" s="2">
        <v>4.2</v>
      </c>
      <c r="M7" s="2">
        <v>741341.44</v>
      </c>
      <c r="N7" s="2">
        <v>119208.17</v>
      </c>
    </row>
    <row r="8" spans="1:14" x14ac:dyDescent="0.45">
      <c r="A8" s="2" t="s">
        <v>56</v>
      </c>
      <c r="B8" s="3">
        <v>45689</v>
      </c>
      <c r="C8" s="2" t="s">
        <v>54</v>
      </c>
      <c r="D8" s="2" t="s">
        <v>57</v>
      </c>
      <c r="E8" s="2">
        <v>64811.21</v>
      </c>
      <c r="F8" s="2">
        <v>9792</v>
      </c>
      <c r="G8" s="2">
        <v>0.112</v>
      </c>
      <c r="H8" s="2">
        <v>20</v>
      </c>
      <c r="I8" s="2">
        <v>84.2</v>
      </c>
      <c r="J8" s="2">
        <v>2.88</v>
      </c>
      <c r="K8" s="2">
        <v>0</v>
      </c>
      <c r="L8" s="2">
        <v>4.2</v>
      </c>
      <c r="M8" s="2">
        <v>761835.34</v>
      </c>
      <c r="N8" s="2">
        <v>149602.23000000001</v>
      </c>
    </row>
    <row r="9" spans="1:14" x14ac:dyDescent="0.45">
      <c r="A9" s="2" t="s">
        <v>56</v>
      </c>
      <c r="B9" s="3">
        <v>45717</v>
      </c>
      <c r="C9" s="2" t="s">
        <v>54</v>
      </c>
      <c r="D9" s="2" t="s">
        <v>57</v>
      </c>
      <c r="E9" s="2">
        <v>46213.45</v>
      </c>
      <c r="F9" s="2">
        <v>10616</v>
      </c>
      <c r="G9" s="2">
        <v>0.122</v>
      </c>
      <c r="H9" s="2">
        <v>22</v>
      </c>
      <c r="I9" s="2">
        <v>85.2</v>
      </c>
      <c r="J9" s="2">
        <v>0.2</v>
      </c>
      <c r="K9" s="2">
        <v>1</v>
      </c>
      <c r="L9" s="2">
        <v>4.0999999999999996</v>
      </c>
      <c r="M9" s="2">
        <v>806615.54</v>
      </c>
      <c r="N9" s="2">
        <v>131364.62</v>
      </c>
    </row>
    <row r="10" spans="1:14" x14ac:dyDescent="0.45">
      <c r="A10" s="2" t="s">
        <v>56</v>
      </c>
      <c r="B10" s="3">
        <v>45748</v>
      </c>
      <c r="C10" s="2" t="s">
        <v>54</v>
      </c>
      <c r="D10" s="2" t="s">
        <v>57</v>
      </c>
      <c r="E10" s="2">
        <v>68148.52</v>
      </c>
      <c r="F10" s="2">
        <v>8567</v>
      </c>
      <c r="G10" s="2">
        <v>0.127</v>
      </c>
      <c r="H10" s="2">
        <v>23</v>
      </c>
      <c r="I10" s="2">
        <v>95.6</v>
      </c>
      <c r="J10" s="2">
        <v>0.8</v>
      </c>
      <c r="K10" s="2">
        <v>0</v>
      </c>
      <c r="L10" s="2">
        <v>3.9</v>
      </c>
      <c r="M10" s="2">
        <v>850164.26</v>
      </c>
      <c r="N10" s="2">
        <v>149262.75</v>
      </c>
    </row>
    <row r="11" spans="1:14" x14ac:dyDescent="0.45">
      <c r="A11" s="2" t="s">
        <v>58</v>
      </c>
      <c r="B11" s="3">
        <v>45658</v>
      </c>
      <c r="C11" s="2" t="s">
        <v>59</v>
      </c>
      <c r="D11" s="2" t="s">
        <v>60</v>
      </c>
      <c r="E11" s="2">
        <v>71838.86</v>
      </c>
      <c r="F11" s="2">
        <v>10979</v>
      </c>
      <c r="G11" s="2">
        <v>0.215</v>
      </c>
      <c r="H11" s="2">
        <v>26</v>
      </c>
      <c r="I11" s="2">
        <v>88.6</v>
      </c>
      <c r="J11" s="2">
        <v>7.7</v>
      </c>
      <c r="K11" s="2">
        <v>1</v>
      </c>
      <c r="L11" s="2">
        <v>3.8</v>
      </c>
      <c r="M11" s="2">
        <v>930581.7</v>
      </c>
      <c r="N11" s="2">
        <v>136207.98000000001</v>
      </c>
    </row>
    <row r="12" spans="1:14" x14ac:dyDescent="0.45">
      <c r="A12" s="2" t="s">
        <v>58</v>
      </c>
      <c r="B12" s="3">
        <v>45689</v>
      </c>
      <c r="C12" s="2" t="s">
        <v>59</v>
      </c>
      <c r="D12" s="2" t="s">
        <v>60</v>
      </c>
      <c r="E12" s="2">
        <v>68133.440000000002</v>
      </c>
      <c r="F12" s="2">
        <v>9459</v>
      </c>
      <c r="G12" s="2">
        <v>0.22</v>
      </c>
      <c r="H12" s="2">
        <v>21</v>
      </c>
      <c r="I12" s="2">
        <v>85</v>
      </c>
      <c r="J12" s="2">
        <v>1.91</v>
      </c>
      <c r="K12" s="2">
        <v>0</v>
      </c>
      <c r="L12" s="2">
        <v>4.2</v>
      </c>
      <c r="M12" s="2">
        <v>779010.94</v>
      </c>
      <c r="N12" s="2">
        <v>106328.09</v>
      </c>
    </row>
    <row r="13" spans="1:14" x14ac:dyDescent="0.45">
      <c r="A13" s="2" t="s">
        <v>58</v>
      </c>
      <c r="B13" s="3">
        <v>45717</v>
      </c>
      <c r="C13" s="2" t="s">
        <v>59</v>
      </c>
      <c r="D13" s="2" t="s">
        <v>60</v>
      </c>
      <c r="E13" s="2">
        <v>34285.21</v>
      </c>
      <c r="F13" s="2">
        <v>9172</v>
      </c>
      <c r="G13" s="2">
        <v>0.21299999999999999</v>
      </c>
      <c r="H13" s="2">
        <v>22</v>
      </c>
      <c r="I13" s="2">
        <v>88.3</v>
      </c>
      <c r="J13" s="2">
        <v>10.46</v>
      </c>
      <c r="K13" s="2">
        <v>1</v>
      </c>
      <c r="L13" s="2">
        <v>3.8</v>
      </c>
      <c r="M13" s="2">
        <v>723060.76</v>
      </c>
      <c r="N13" s="2">
        <v>123131.24</v>
      </c>
    </row>
    <row r="14" spans="1:14" x14ac:dyDescent="0.45">
      <c r="A14" s="2" t="s">
        <v>58</v>
      </c>
      <c r="B14" s="3">
        <v>45748</v>
      </c>
      <c r="C14" s="2" t="s">
        <v>59</v>
      </c>
      <c r="D14" s="2" t="s">
        <v>60</v>
      </c>
      <c r="E14" s="2">
        <v>67979.88</v>
      </c>
      <c r="F14" s="2">
        <v>11230</v>
      </c>
      <c r="G14" s="2">
        <v>2E-3</v>
      </c>
      <c r="H14" s="2">
        <v>28</v>
      </c>
      <c r="I14" s="2">
        <v>85.3</v>
      </c>
      <c r="J14" s="2">
        <v>7.16</v>
      </c>
      <c r="K14" s="2">
        <v>0</v>
      </c>
      <c r="L14" s="2">
        <v>3.8</v>
      </c>
      <c r="M14" s="2">
        <v>910791.94</v>
      </c>
      <c r="N14" s="2">
        <v>158891.28</v>
      </c>
    </row>
    <row r="15" spans="1:14" x14ac:dyDescent="0.45">
      <c r="A15" s="2" t="s">
        <v>61</v>
      </c>
      <c r="B15" s="3">
        <v>45658</v>
      </c>
      <c r="C15" s="2" t="s">
        <v>54</v>
      </c>
      <c r="D15" s="2" t="s">
        <v>55</v>
      </c>
      <c r="E15" s="2">
        <v>71828.259999999995</v>
      </c>
      <c r="F15" s="2">
        <v>12775</v>
      </c>
      <c r="G15" s="2">
        <v>0.11600000000000001</v>
      </c>
      <c r="H15" s="2">
        <v>30</v>
      </c>
      <c r="I15" s="2">
        <v>81.7</v>
      </c>
      <c r="J15" s="2">
        <v>4.24</v>
      </c>
      <c r="K15" s="2">
        <v>1</v>
      </c>
      <c r="L15" s="2">
        <v>4.2</v>
      </c>
      <c r="M15" s="2">
        <v>922168.6</v>
      </c>
      <c r="N15" s="2">
        <v>107494.53</v>
      </c>
    </row>
    <row r="16" spans="1:14" x14ac:dyDescent="0.45">
      <c r="A16" s="2" t="s">
        <v>61</v>
      </c>
      <c r="B16" s="3">
        <v>45689</v>
      </c>
      <c r="C16" s="2" t="s">
        <v>54</v>
      </c>
      <c r="D16" s="2" t="s">
        <v>55</v>
      </c>
      <c r="E16" s="2">
        <v>55716.82</v>
      </c>
      <c r="F16" s="2">
        <v>10054</v>
      </c>
      <c r="G16" s="2">
        <v>0.14599999999999999</v>
      </c>
      <c r="H16" s="2">
        <v>24</v>
      </c>
      <c r="I16" s="2">
        <v>84.9</v>
      </c>
      <c r="J16" s="2">
        <v>1.06</v>
      </c>
      <c r="K16" s="2">
        <v>0</v>
      </c>
      <c r="L16" s="2">
        <v>4.3</v>
      </c>
      <c r="M16" s="2">
        <v>726606.28</v>
      </c>
      <c r="N16" s="2">
        <v>122729.29</v>
      </c>
    </row>
    <row r="17" spans="1:14" x14ac:dyDescent="0.45">
      <c r="A17" s="2" t="s">
        <v>61</v>
      </c>
      <c r="B17" s="3">
        <v>45717</v>
      </c>
      <c r="C17" s="2" t="s">
        <v>54</v>
      </c>
      <c r="D17" s="2" t="s">
        <v>55</v>
      </c>
      <c r="E17" s="2">
        <v>59909.51</v>
      </c>
      <c r="F17" s="2">
        <v>8895</v>
      </c>
      <c r="G17" s="2">
        <v>0.22800000000000001</v>
      </c>
      <c r="H17" s="2">
        <v>23</v>
      </c>
      <c r="I17" s="2">
        <v>88.8</v>
      </c>
      <c r="J17" s="2">
        <v>0.27</v>
      </c>
      <c r="K17" s="2">
        <v>0</v>
      </c>
      <c r="L17" s="2">
        <v>4.3</v>
      </c>
      <c r="M17" s="2">
        <v>746501.09</v>
      </c>
      <c r="N17" s="2">
        <v>136816.72</v>
      </c>
    </row>
    <row r="18" spans="1:14" x14ac:dyDescent="0.45">
      <c r="A18" s="2" t="s">
        <v>61</v>
      </c>
      <c r="B18" s="3">
        <v>45748</v>
      </c>
      <c r="C18" s="2" t="s">
        <v>54</v>
      </c>
      <c r="D18" s="2" t="s">
        <v>55</v>
      </c>
      <c r="E18" s="2">
        <v>75305.710000000006</v>
      </c>
      <c r="F18" s="2">
        <v>10940</v>
      </c>
      <c r="G18" s="2">
        <v>6.0000000000000001E-3</v>
      </c>
      <c r="H18" s="2">
        <v>26</v>
      </c>
      <c r="I18" s="2">
        <v>76.5</v>
      </c>
      <c r="J18" s="2">
        <v>1.32</v>
      </c>
      <c r="K18" s="2">
        <v>0</v>
      </c>
      <c r="L18" s="2">
        <v>4.5</v>
      </c>
      <c r="M18" s="2">
        <v>834017.02</v>
      </c>
      <c r="N18" s="2">
        <v>114745.03</v>
      </c>
    </row>
    <row r="19" spans="1:14" x14ac:dyDescent="0.45">
      <c r="A19" s="2" t="s">
        <v>62</v>
      </c>
      <c r="B19" s="3">
        <v>45658</v>
      </c>
      <c r="C19" s="2" t="s">
        <v>63</v>
      </c>
      <c r="D19" s="2" t="s">
        <v>55</v>
      </c>
      <c r="E19" s="2">
        <v>48804.22</v>
      </c>
      <c r="F19" s="2">
        <v>7057</v>
      </c>
      <c r="G19" s="2">
        <v>5.0000000000000001E-3</v>
      </c>
      <c r="H19" s="2">
        <v>15</v>
      </c>
      <c r="I19" s="2">
        <v>87.7</v>
      </c>
      <c r="J19" s="2">
        <v>1.22</v>
      </c>
      <c r="K19" s="2">
        <v>0</v>
      </c>
      <c r="L19" s="2">
        <v>3.7</v>
      </c>
      <c r="M19" s="2">
        <v>666152.52</v>
      </c>
      <c r="N19" s="2">
        <v>107490.58</v>
      </c>
    </row>
    <row r="20" spans="1:14" x14ac:dyDescent="0.45">
      <c r="A20" s="2" t="s">
        <v>62</v>
      </c>
      <c r="B20" s="3">
        <v>45689</v>
      </c>
      <c r="C20" s="2" t="s">
        <v>63</v>
      </c>
      <c r="D20" s="2" t="s">
        <v>55</v>
      </c>
      <c r="E20" s="2">
        <v>59117.9</v>
      </c>
      <c r="F20" s="2">
        <v>4263</v>
      </c>
      <c r="G20" s="2">
        <v>0.11899999999999999</v>
      </c>
      <c r="H20" s="2">
        <v>9</v>
      </c>
      <c r="I20" s="2">
        <v>87.6</v>
      </c>
      <c r="J20" s="2">
        <v>4.01</v>
      </c>
      <c r="K20" s="2">
        <v>0</v>
      </c>
      <c r="L20" s="2">
        <v>3.6</v>
      </c>
      <c r="M20" s="2">
        <v>573155.18999999994</v>
      </c>
      <c r="N20" s="2">
        <v>83680.75</v>
      </c>
    </row>
    <row r="21" spans="1:14" x14ac:dyDescent="0.45">
      <c r="A21" s="2" t="s">
        <v>62</v>
      </c>
      <c r="B21" s="3">
        <v>45717</v>
      </c>
      <c r="C21" s="2" t="s">
        <v>63</v>
      </c>
      <c r="D21" s="2" t="s">
        <v>55</v>
      </c>
      <c r="E21" s="2">
        <v>78831.12</v>
      </c>
      <c r="F21" s="2">
        <v>5538</v>
      </c>
      <c r="G21" s="2">
        <v>0</v>
      </c>
      <c r="H21" s="2">
        <v>15</v>
      </c>
      <c r="I21" s="2">
        <v>94.1</v>
      </c>
      <c r="J21" s="2">
        <v>0.2</v>
      </c>
      <c r="K21" s="2">
        <v>0</v>
      </c>
      <c r="L21" s="2">
        <v>3.9</v>
      </c>
      <c r="M21" s="2">
        <v>666573.19999999995</v>
      </c>
      <c r="N21" s="2">
        <v>140641.01999999999</v>
      </c>
    </row>
    <row r="22" spans="1:14" x14ac:dyDescent="0.45">
      <c r="A22" s="2" t="s">
        <v>62</v>
      </c>
      <c r="B22" s="3">
        <v>45748</v>
      </c>
      <c r="C22" s="2" t="s">
        <v>63</v>
      </c>
      <c r="D22" s="2" t="s">
        <v>55</v>
      </c>
      <c r="E22" s="2">
        <v>41441.93</v>
      </c>
      <c r="F22" s="2">
        <v>4865</v>
      </c>
      <c r="G22" s="2">
        <v>0.158</v>
      </c>
      <c r="H22" s="2">
        <v>16</v>
      </c>
      <c r="I22" s="2">
        <v>88.3</v>
      </c>
      <c r="J22" s="2">
        <v>0.5</v>
      </c>
      <c r="K22" s="2">
        <v>0</v>
      </c>
      <c r="L22" s="2">
        <v>4</v>
      </c>
      <c r="M22" s="2">
        <v>591619.94999999995</v>
      </c>
      <c r="N22" s="2">
        <v>99521.35</v>
      </c>
    </row>
    <row r="23" spans="1:14" x14ac:dyDescent="0.45">
      <c r="A23" s="2" t="s">
        <v>64</v>
      </c>
      <c r="B23" s="3">
        <v>45658</v>
      </c>
      <c r="C23" s="2" t="s">
        <v>59</v>
      </c>
      <c r="D23" s="2" t="s">
        <v>55</v>
      </c>
      <c r="E23" s="2">
        <v>30356.28</v>
      </c>
      <c r="F23" s="2">
        <v>2822</v>
      </c>
      <c r="G23" s="2">
        <v>0.23100000000000001</v>
      </c>
      <c r="H23" s="2">
        <v>9</v>
      </c>
      <c r="I23" s="2">
        <v>84.8</v>
      </c>
      <c r="J23" s="2">
        <v>6.95</v>
      </c>
      <c r="K23" s="2">
        <v>0</v>
      </c>
      <c r="L23" s="2">
        <v>5</v>
      </c>
      <c r="M23" s="2">
        <v>415721.82</v>
      </c>
      <c r="N23" s="2">
        <v>61179.15</v>
      </c>
    </row>
    <row r="24" spans="1:14" x14ac:dyDescent="0.45">
      <c r="A24" s="2" t="s">
        <v>64</v>
      </c>
      <c r="B24" s="3">
        <v>45689</v>
      </c>
      <c r="C24" s="2" t="s">
        <v>59</v>
      </c>
      <c r="D24" s="2" t="s">
        <v>55</v>
      </c>
      <c r="E24" s="2">
        <v>33518.879999999997</v>
      </c>
      <c r="F24" s="2">
        <v>2121</v>
      </c>
      <c r="G24" s="2">
        <v>0.17599999999999999</v>
      </c>
      <c r="H24" s="2">
        <v>8</v>
      </c>
      <c r="I24" s="2">
        <v>88.5</v>
      </c>
      <c r="J24" s="2">
        <v>0.2</v>
      </c>
      <c r="K24" s="2">
        <v>0</v>
      </c>
      <c r="L24" s="2">
        <v>5</v>
      </c>
      <c r="M24" s="2">
        <v>491905.13</v>
      </c>
      <c r="N24" s="2">
        <v>79212.259999999995</v>
      </c>
    </row>
    <row r="25" spans="1:14" x14ac:dyDescent="0.45">
      <c r="A25" s="2" t="s">
        <v>64</v>
      </c>
      <c r="B25" s="3">
        <v>45717</v>
      </c>
      <c r="C25" s="2" t="s">
        <v>59</v>
      </c>
      <c r="D25" s="2" t="s">
        <v>55</v>
      </c>
      <c r="E25" s="2">
        <v>42267.37</v>
      </c>
      <c r="F25" s="2">
        <v>3364</v>
      </c>
      <c r="G25" s="2">
        <v>0.16</v>
      </c>
      <c r="H25" s="2">
        <v>13</v>
      </c>
      <c r="I25" s="2">
        <v>82</v>
      </c>
      <c r="J25" s="2">
        <v>1.61</v>
      </c>
      <c r="K25" s="2">
        <v>1</v>
      </c>
      <c r="L25" s="2">
        <v>4.5999999999999996</v>
      </c>
      <c r="M25" s="2">
        <v>555929.4</v>
      </c>
      <c r="N25" s="2">
        <v>115201.76</v>
      </c>
    </row>
    <row r="26" spans="1:14" x14ac:dyDescent="0.45">
      <c r="A26" s="2" t="s">
        <v>64</v>
      </c>
      <c r="B26" s="3">
        <v>45748</v>
      </c>
      <c r="C26" s="2" t="s">
        <v>59</v>
      </c>
      <c r="D26" s="2" t="s">
        <v>55</v>
      </c>
      <c r="E26" s="2">
        <v>62060.43</v>
      </c>
      <c r="F26" s="2">
        <v>2613</v>
      </c>
      <c r="G26" s="2">
        <v>0.216</v>
      </c>
      <c r="H26" s="2">
        <v>12</v>
      </c>
      <c r="I26" s="2">
        <v>92.1</v>
      </c>
      <c r="J26" s="2">
        <v>1.55</v>
      </c>
      <c r="K26" s="2">
        <v>0</v>
      </c>
      <c r="L26" s="2">
        <v>4.7</v>
      </c>
      <c r="M26" s="2">
        <v>565810.99</v>
      </c>
      <c r="N26" s="2">
        <v>77825.460000000006</v>
      </c>
    </row>
    <row r="27" spans="1:14" x14ac:dyDescent="0.45">
      <c r="A27" s="2" t="s">
        <v>65</v>
      </c>
      <c r="B27" s="3">
        <v>45658</v>
      </c>
      <c r="C27" s="2" t="s">
        <v>66</v>
      </c>
      <c r="D27" s="2" t="s">
        <v>67</v>
      </c>
      <c r="E27" s="2">
        <v>57696.69</v>
      </c>
      <c r="F27" s="2">
        <v>10218</v>
      </c>
      <c r="G27" s="2">
        <v>0.121</v>
      </c>
      <c r="H27" s="2">
        <v>25</v>
      </c>
      <c r="I27" s="2">
        <v>94.8</v>
      </c>
      <c r="J27" s="2">
        <v>2.99</v>
      </c>
      <c r="K27" s="2">
        <v>0</v>
      </c>
      <c r="L27" s="2">
        <v>3.5</v>
      </c>
      <c r="M27" s="2">
        <v>811771.14</v>
      </c>
      <c r="N27" s="2">
        <v>148756.24</v>
      </c>
    </row>
    <row r="28" spans="1:14" x14ac:dyDescent="0.45">
      <c r="A28" s="2" t="s">
        <v>65</v>
      </c>
      <c r="B28" s="3">
        <v>45689</v>
      </c>
      <c r="C28" s="2" t="s">
        <v>66</v>
      </c>
      <c r="D28" s="2" t="s">
        <v>67</v>
      </c>
      <c r="E28" s="2">
        <v>172415.52</v>
      </c>
      <c r="F28" s="2">
        <v>8927</v>
      </c>
      <c r="G28" s="2">
        <v>0.14000000000000001</v>
      </c>
      <c r="H28" s="2">
        <v>22</v>
      </c>
      <c r="I28" s="2">
        <v>86.2</v>
      </c>
      <c r="J28" s="2">
        <v>7.04</v>
      </c>
      <c r="K28" s="2">
        <v>0</v>
      </c>
      <c r="L28" s="2">
        <v>3.9</v>
      </c>
      <c r="M28" s="2">
        <v>800451.94</v>
      </c>
      <c r="N28" s="2">
        <v>111572.29</v>
      </c>
    </row>
    <row r="29" spans="1:14" x14ac:dyDescent="0.45">
      <c r="A29" s="2" t="s">
        <v>65</v>
      </c>
      <c r="B29" s="3">
        <v>45717</v>
      </c>
      <c r="C29" s="2" t="s">
        <v>66</v>
      </c>
      <c r="D29" s="2" t="s">
        <v>67</v>
      </c>
      <c r="E29" s="2">
        <v>55270.52</v>
      </c>
      <c r="F29" s="2">
        <v>9315</v>
      </c>
      <c r="G29" s="2">
        <v>0.16900000000000001</v>
      </c>
      <c r="H29" s="2">
        <v>23</v>
      </c>
      <c r="I29" s="2">
        <v>91.9</v>
      </c>
      <c r="J29" s="2">
        <v>4.9400000000000004</v>
      </c>
      <c r="K29" s="2">
        <v>0</v>
      </c>
      <c r="L29" s="2">
        <v>4</v>
      </c>
      <c r="M29" s="2">
        <v>783672.82</v>
      </c>
      <c r="N29" s="2">
        <v>112577.14</v>
      </c>
    </row>
    <row r="30" spans="1:14" x14ac:dyDescent="0.45">
      <c r="A30" s="2" t="s">
        <v>65</v>
      </c>
      <c r="B30" s="3">
        <v>45748</v>
      </c>
      <c r="C30" s="2" t="s">
        <v>66</v>
      </c>
      <c r="D30" s="2" t="s">
        <v>67</v>
      </c>
      <c r="E30" s="2">
        <v>52715.1</v>
      </c>
      <c r="F30" s="2">
        <v>7223</v>
      </c>
      <c r="G30" s="2">
        <v>0.122</v>
      </c>
      <c r="H30" s="2">
        <v>16</v>
      </c>
      <c r="I30" s="2">
        <v>84.2</v>
      </c>
      <c r="J30" s="2">
        <v>16.149999999999999</v>
      </c>
      <c r="K30" s="2">
        <v>0</v>
      </c>
      <c r="L30" s="2">
        <v>3.7</v>
      </c>
      <c r="M30" s="2">
        <v>701641.97</v>
      </c>
      <c r="N30" s="2">
        <v>106111.86</v>
      </c>
    </row>
    <row r="31" spans="1:14" x14ac:dyDescent="0.45">
      <c r="A31" s="2" t="s">
        <v>68</v>
      </c>
      <c r="B31" s="3">
        <v>45658</v>
      </c>
      <c r="C31" s="2" t="s">
        <v>54</v>
      </c>
      <c r="D31" s="2" t="s">
        <v>55</v>
      </c>
      <c r="E31" s="2">
        <v>68600.62</v>
      </c>
      <c r="F31" s="2">
        <v>3988</v>
      </c>
      <c r="G31" s="2">
        <v>0.124</v>
      </c>
      <c r="H31" s="2">
        <v>11</v>
      </c>
      <c r="I31" s="2">
        <v>85</v>
      </c>
      <c r="J31" s="2">
        <v>0.48</v>
      </c>
      <c r="K31" s="2">
        <v>0</v>
      </c>
      <c r="L31" s="2">
        <v>3.6</v>
      </c>
      <c r="M31" s="2">
        <v>511844.41</v>
      </c>
      <c r="N31" s="2">
        <v>72774.44</v>
      </c>
    </row>
    <row r="32" spans="1:14" x14ac:dyDescent="0.45">
      <c r="A32" s="2" t="s">
        <v>68</v>
      </c>
      <c r="B32" s="3">
        <v>45689</v>
      </c>
      <c r="C32" s="2" t="s">
        <v>54</v>
      </c>
      <c r="D32" s="2" t="s">
        <v>55</v>
      </c>
      <c r="E32" s="2">
        <v>63176.73</v>
      </c>
      <c r="F32" s="2">
        <v>2390</v>
      </c>
      <c r="G32" s="2">
        <v>0.216</v>
      </c>
      <c r="H32" s="2">
        <v>9</v>
      </c>
      <c r="I32" s="2">
        <v>87.5</v>
      </c>
      <c r="J32" s="2">
        <v>0.31</v>
      </c>
      <c r="K32" s="2">
        <v>0</v>
      </c>
      <c r="L32" s="2">
        <v>3.1</v>
      </c>
      <c r="M32" s="2">
        <v>537383.79</v>
      </c>
      <c r="N32" s="2">
        <v>63773.27</v>
      </c>
    </row>
    <row r="33" spans="1:14" x14ac:dyDescent="0.45">
      <c r="A33" s="2" t="s">
        <v>68</v>
      </c>
      <c r="B33" s="3">
        <v>45717</v>
      </c>
      <c r="C33" s="2" t="s">
        <v>54</v>
      </c>
      <c r="D33" s="2" t="s">
        <v>55</v>
      </c>
      <c r="E33" s="2">
        <v>44970.080000000002</v>
      </c>
      <c r="F33" s="2">
        <v>2471</v>
      </c>
      <c r="G33" s="2">
        <v>0.13600000000000001</v>
      </c>
      <c r="H33" s="2">
        <v>11</v>
      </c>
      <c r="I33" s="2">
        <v>87.6</v>
      </c>
      <c r="J33" s="2">
        <v>3.01</v>
      </c>
      <c r="K33" s="2">
        <v>1</v>
      </c>
      <c r="L33" s="2">
        <v>3.7</v>
      </c>
      <c r="M33" s="2">
        <v>500173.02</v>
      </c>
      <c r="N33" s="2">
        <v>70982.05</v>
      </c>
    </row>
    <row r="34" spans="1:14" x14ac:dyDescent="0.45">
      <c r="A34" s="2" t="s">
        <v>68</v>
      </c>
      <c r="B34" s="3">
        <v>45748</v>
      </c>
      <c r="C34" s="2" t="s">
        <v>54</v>
      </c>
      <c r="D34" s="2" t="s">
        <v>55</v>
      </c>
      <c r="E34" s="2">
        <v>69816.350000000006</v>
      </c>
      <c r="F34" s="2">
        <v>971</v>
      </c>
      <c r="G34" s="2">
        <v>0.16800000000000001</v>
      </c>
      <c r="H34" s="2">
        <v>5</v>
      </c>
      <c r="I34" s="2">
        <v>89.9</v>
      </c>
      <c r="J34" s="2">
        <v>12.15</v>
      </c>
      <c r="K34" s="2">
        <v>0</v>
      </c>
      <c r="L34" s="2">
        <v>3.6</v>
      </c>
      <c r="M34" s="2">
        <v>427917.38</v>
      </c>
      <c r="N34" s="2">
        <v>81824.31</v>
      </c>
    </row>
    <row r="35" spans="1:14" x14ac:dyDescent="0.45">
      <c r="A35" s="2" t="s">
        <v>69</v>
      </c>
      <c r="B35" s="3">
        <v>45658</v>
      </c>
      <c r="C35" s="2" t="s">
        <v>59</v>
      </c>
      <c r="D35" s="2" t="s">
        <v>55</v>
      </c>
      <c r="E35" s="2">
        <v>54597.83</v>
      </c>
      <c r="F35" s="2">
        <v>9429</v>
      </c>
      <c r="G35" s="2">
        <v>0.188</v>
      </c>
      <c r="H35" s="2">
        <v>21</v>
      </c>
      <c r="I35" s="2">
        <v>83.3</v>
      </c>
      <c r="J35" s="2">
        <v>11.71</v>
      </c>
      <c r="K35" s="2">
        <v>0</v>
      </c>
      <c r="L35" s="2">
        <v>4.2</v>
      </c>
      <c r="M35" s="2">
        <v>641865.03</v>
      </c>
      <c r="N35" s="2">
        <v>81342.58</v>
      </c>
    </row>
    <row r="36" spans="1:14" x14ac:dyDescent="0.45">
      <c r="A36" s="2" t="s">
        <v>69</v>
      </c>
      <c r="B36" s="3">
        <v>45717</v>
      </c>
      <c r="C36" s="2" t="s">
        <v>59</v>
      </c>
      <c r="D36" s="2" t="s">
        <v>55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 x14ac:dyDescent="0.45">
      <c r="A37" s="2" t="s">
        <v>69</v>
      </c>
      <c r="B37" s="3">
        <v>45748</v>
      </c>
      <c r="C37" s="2" t="s">
        <v>59</v>
      </c>
      <c r="D37" s="2" t="s">
        <v>55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 x14ac:dyDescent="0.45">
      <c r="A38" s="2" t="s">
        <v>70</v>
      </c>
      <c r="B38" s="3">
        <v>45658</v>
      </c>
      <c r="C38" s="2" t="s">
        <v>59</v>
      </c>
      <c r="D38" s="2" t="s">
        <v>67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 x14ac:dyDescent="0.45">
      <c r="A39" s="2" t="s">
        <v>70</v>
      </c>
      <c r="B39" s="3">
        <v>45689</v>
      </c>
      <c r="C39" s="2" t="s">
        <v>59</v>
      </c>
      <c r="D39" s="2" t="s">
        <v>67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 x14ac:dyDescent="0.45">
      <c r="A40" s="2" t="s">
        <v>70</v>
      </c>
      <c r="B40" s="3">
        <v>45717</v>
      </c>
      <c r="C40" s="2" t="s">
        <v>59</v>
      </c>
      <c r="D40" s="2" t="s">
        <v>67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 x14ac:dyDescent="0.45">
      <c r="A41" s="2" t="s">
        <v>70</v>
      </c>
      <c r="B41" s="3">
        <v>45748</v>
      </c>
      <c r="C41" s="2" t="s">
        <v>59</v>
      </c>
      <c r="D41" s="2" t="s">
        <v>67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 x14ac:dyDescent="0.45">
      <c r="A42" s="2" t="s">
        <v>71</v>
      </c>
      <c r="B42" s="3">
        <v>45658</v>
      </c>
      <c r="C42" s="2" t="s">
        <v>54</v>
      </c>
      <c r="D42" s="2" t="s">
        <v>67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 x14ac:dyDescent="0.45">
      <c r="A43" s="2" t="s">
        <v>71</v>
      </c>
      <c r="B43" s="3">
        <v>45689</v>
      </c>
      <c r="C43" s="2" t="s">
        <v>54</v>
      </c>
      <c r="D43" s="2" t="s">
        <v>67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 x14ac:dyDescent="0.45">
      <c r="A44" s="2" t="s">
        <v>71</v>
      </c>
      <c r="B44" s="3">
        <v>45717</v>
      </c>
      <c r="C44" s="2" t="s">
        <v>54</v>
      </c>
      <c r="D44" s="2" t="s">
        <v>67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 x14ac:dyDescent="0.45">
      <c r="A45" s="2" t="s">
        <v>71</v>
      </c>
      <c r="B45" s="3">
        <v>45748</v>
      </c>
      <c r="C45" s="2" t="s">
        <v>54</v>
      </c>
      <c r="D45" s="2" t="s">
        <v>67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 x14ac:dyDescent="0.45">
      <c r="A46" s="2" t="s">
        <v>72</v>
      </c>
      <c r="B46" s="3">
        <v>45658</v>
      </c>
      <c r="C46" s="2" t="s">
        <v>66</v>
      </c>
      <c r="D46" s="2" t="s">
        <v>55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 x14ac:dyDescent="0.45">
      <c r="A47" s="2" t="s">
        <v>72</v>
      </c>
      <c r="B47" s="3">
        <v>45689</v>
      </c>
      <c r="C47" s="2" t="s">
        <v>66</v>
      </c>
      <c r="D47" s="2" t="s">
        <v>55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 x14ac:dyDescent="0.45">
      <c r="A48" s="2" t="s">
        <v>72</v>
      </c>
      <c r="B48" s="3">
        <v>45717</v>
      </c>
      <c r="C48" s="2" t="s">
        <v>66</v>
      </c>
      <c r="D48" s="2" t="s">
        <v>55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 x14ac:dyDescent="0.45">
      <c r="A49" s="2" t="s">
        <v>72</v>
      </c>
      <c r="B49" s="3">
        <v>45748</v>
      </c>
      <c r="C49" s="2" t="s">
        <v>66</v>
      </c>
      <c r="D49" s="2" t="s">
        <v>55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 x14ac:dyDescent="0.45">
      <c r="A50" s="2" t="s">
        <v>73</v>
      </c>
      <c r="B50" s="3">
        <v>45658</v>
      </c>
      <c r="C50" s="2" t="s">
        <v>59</v>
      </c>
      <c r="D50" s="2" t="s">
        <v>67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 x14ac:dyDescent="0.45">
      <c r="A51" s="2" t="s">
        <v>73</v>
      </c>
      <c r="B51" s="3">
        <v>45689</v>
      </c>
      <c r="C51" s="2" t="s">
        <v>59</v>
      </c>
      <c r="D51" s="2" t="s">
        <v>67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 x14ac:dyDescent="0.45">
      <c r="A52" s="2" t="s">
        <v>73</v>
      </c>
      <c r="B52" s="3">
        <v>45717</v>
      </c>
      <c r="C52" s="2" t="s">
        <v>59</v>
      </c>
      <c r="D52" s="2" t="s">
        <v>67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 x14ac:dyDescent="0.45">
      <c r="A53" s="2" t="s">
        <v>73</v>
      </c>
      <c r="B53" s="3">
        <v>45748</v>
      </c>
      <c r="C53" s="2" t="s">
        <v>59</v>
      </c>
      <c r="D53" s="2" t="s">
        <v>67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 x14ac:dyDescent="0.45">
      <c r="A54" s="2" t="s">
        <v>74</v>
      </c>
      <c r="B54" s="3">
        <v>45658</v>
      </c>
      <c r="C54" s="2" t="s">
        <v>66</v>
      </c>
      <c r="D54" s="2" t="s">
        <v>57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 x14ac:dyDescent="0.45">
      <c r="A55" s="2" t="s">
        <v>74</v>
      </c>
      <c r="B55" s="3">
        <v>45689</v>
      </c>
      <c r="C55" s="2" t="s">
        <v>66</v>
      </c>
      <c r="D55" s="2" t="s">
        <v>57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 x14ac:dyDescent="0.45">
      <c r="A56" s="2" t="s">
        <v>74</v>
      </c>
      <c r="B56" s="3">
        <v>45717</v>
      </c>
      <c r="C56" s="2" t="s">
        <v>66</v>
      </c>
      <c r="D56" s="2" t="s">
        <v>57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 x14ac:dyDescent="0.45">
      <c r="A57" s="2" t="s">
        <v>74</v>
      </c>
      <c r="B57" s="3">
        <v>45748</v>
      </c>
      <c r="C57" s="2" t="s">
        <v>66</v>
      </c>
      <c r="D57" s="2" t="s">
        <v>57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 x14ac:dyDescent="0.45">
      <c r="A58" s="2" t="s">
        <v>75</v>
      </c>
      <c r="B58" s="3">
        <v>45658</v>
      </c>
      <c r="C58" s="2" t="s">
        <v>54</v>
      </c>
      <c r="D58" s="2" t="s">
        <v>60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 x14ac:dyDescent="0.45">
      <c r="A59" s="2" t="s">
        <v>75</v>
      </c>
      <c r="B59" s="3">
        <v>45689</v>
      </c>
      <c r="C59" s="2" t="s">
        <v>54</v>
      </c>
      <c r="D59" s="2" t="s">
        <v>60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 x14ac:dyDescent="0.45">
      <c r="A60" s="2" t="s">
        <v>75</v>
      </c>
      <c r="B60" s="3">
        <v>45717</v>
      </c>
      <c r="C60" s="2" t="s">
        <v>54</v>
      </c>
      <c r="D60" s="2" t="s">
        <v>60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 x14ac:dyDescent="0.45">
      <c r="A61" s="2" t="s">
        <v>75</v>
      </c>
      <c r="B61" s="3">
        <v>45748</v>
      </c>
      <c r="C61" s="2" t="s">
        <v>54</v>
      </c>
      <c r="D61" s="2" t="s">
        <v>60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 x14ac:dyDescent="0.45">
      <c r="A62" s="2" t="s">
        <v>76</v>
      </c>
      <c r="B62" s="3">
        <v>45658</v>
      </c>
      <c r="C62" s="2" t="s">
        <v>63</v>
      </c>
      <c r="D62" s="2" t="s">
        <v>57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 x14ac:dyDescent="0.45">
      <c r="A63" s="2" t="s">
        <v>76</v>
      </c>
      <c r="B63" s="3">
        <v>45689</v>
      </c>
      <c r="C63" s="2" t="s">
        <v>63</v>
      </c>
      <c r="D63" s="2" t="s">
        <v>57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 x14ac:dyDescent="0.45">
      <c r="A64" s="2" t="s">
        <v>76</v>
      </c>
      <c r="B64" s="3">
        <v>45717</v>
      </c>
      <c r="C64" s="2" t="s">
        <v>63</v>
      </c>
      <c r="D64" s="2" t="s">
        <v>57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 x14ac:dyDescent="0.45">
      <c r="A65" s="2" t="s">
        <v>76</v>
      </c>
      <c r="B65" s="3">
        <v>45748</v>
      </c>
      <c r="C65" s="2" t="s">
        <v>63</v>
      </c>
      <c r="D65" s="2" t="s">
        <v>57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 x14ac:dyDescent="0.45">
      <c r="A66" s="2" t="s">
        <v>77</v>
      </c>
      <c r="B66" s="3">
        <v>45658</v>
      </c>
      <c r="C66" s="2" t="s">
        <v>66</v>
      </c>
      <c r="D66" s="2" t="s">
        <v>57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 x14ac:dyDescent="0.45">
      <c r="A67" s="2" t="s">
        <v>77</v>
      </c>
      <c r="B67" s="3">
        <v>45689</v>
      </c>
      <c r="C67" s="2" t="s">
        <v>66</v>
      </c>
      <c r="D67" s="2" t="s">
        <v>57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 x14ac:dyDescent="0.45">
      <c r="A68" s="2" t="s">
        <v>77</v>
      </c>
      <c r="B68" s="3">
        <v>45717</v>
      </c>
      <c r="C68" s="2" t="s">
        <v>66</v>
      </c>
      <c r="D68" s="2" t="s">
        <v>57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 x14ac:dyDescent="0.45">
      <c r="A69" s="2" t="s">
        <v>77</v>
      </c>
      <c r="B69" s="3">
        <v>45748</v>
      </c>
      <c r="C69" s="2" t="s">
        <v>66</v>
      </c>
      <c r="D69" s="2" t="s">
        <v>57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 x14ac:dyDescent="0.45">
      <c r="A70" s="2" t="s">
        <v>78</v>
      </c>
      <c r="B70" s="3">
        <v>45658</v>
      </c>
      <c r="C70" s="2" t="s">
        <v>54</v>
      </c>
      <c r="D70" s="2" t="s">
        <v>57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 x14ac:dyDescent="0.45">
      <c r="A71" s="2" t="s">
        <v>78</v>
      </c>
      <c r="B71" s="3">
        <v>45689</v>
      </c>
      <c r="C71" s="2" t="s">
        <v>54</v>
      </c>
      <c r="D71" s="2" t="s">
        <v>57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 x14ac:dyDescent="0.45">
      <c r="A72" s="2" t="s">
        <v>78</v>
      </c>
      <c r="B72" s="3">
        <v>45717</v>
      </c>
      <c r="C72" s="2" t="s">
        <v>54</v>
      </c>
      <c r="D72" s="2" t="s">
        <v>57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 x14ac:dyDescent="0.45">
      <c r="A73" s="2" t="s">
        <v>79</v>
      </c>
      <c r="B73" s="3">
        <v>45658</v>
      </c>
      <c r="C73" s="2" t="s">
        <v>54</v>
      </c>
      <c r="D73" s="2" t="s">
        <v>55</v>
      </c>
      <c r="E73" s="2">
        <v>46201.46</v>
      </c>
      <c r="F73" s="2">
        <v>5918</v>
      </c>
      <c r="G73" s="2">
        <v>0.27700000000000002</v>
      </c>
      <c r="H73" s="2">
        <v>13</v>
      </c>
      <c r="I73" s="2">
        <v>78.8</v>
      </c>
      <c r="J73" s="2">
        <v>4.91</v>
      </c>
      <c r="K73" s="2">
        <v>0</v>
      </c>
      <c r="L73" s="2">
        <v>4.5</v>
      </c>
      <c r="M73" s="2">
        <v>616069.41</v>
      </c>
      <c r="N73" s="2">
        <v>54453.99</v>
      </c>
    </row>
    <row r="74" spans="1:14" x14ac:dyDescent="0.45">
      <c r="A74" s="2" t="s">
        <v>79</v>
      </c>
      <c r="B74" s="3">
        <v>45689</v>
      </c>
      <c r="C74" s="2" t="s">
        <v>54</v>
      </c>
      <c r="D74" s="2" t="s">
        <v>55</v>
      </c>
      <c r="E74" s="2">
        <v>53762.92</v>
      </c>
      <c r="F74" s="2">
        <v>6821</v>
      </c>
      <c r="G74" s="2">
        <v>6.6000000000000003E-2</v>
      </c>
      <c r="H74" s="2">
        <v>19</v>
      </c>
      <c r="I74" s="2">
        <v>94.6</v>
      </c>
      <c r="J74" s="2">
        <v>7.03</v>
      </c>
      <c r="K74" s="2">
        <v>0</v>
      </c>
      <c r="L74" s="2">
        <v>4.4000000000000004</v>
      </c>
      <c r="M74" s="2">
        <v>630829.93999999994</v>
      </c>
      <c r="N74" s="2">
        <v>117090.02</v>
      </c>
    </row>
    <row r="75" spans="1:14" x14ac:dyDescent="0.45">
      <c r="A75" s="2" t="s">
        <v>79</v>
      </c>
      <c r="B75" s="3">
        <v>45717</v>
      </c>
      <c r="C75" s="2" t="s">
        <v>54</v>
      </c>
      <c r="D75" s="2" t="s">
        <v>55</v>
      </c>
      <c r="E75" s="2">
        <v>70144.78</v>
      </c>
      <c r="F75" s="2">
        <v>6806</v>
      </c>
      <c r="G75" s="2">
        <v>0.17799999999999999</v>
      </c>
      <c r="H75" s="2">
        <v>20</v>
      </c>
      <c r="I75" s="2">
        <v>93.1</v>
      </c>
      <c r="J75" s="2">
        <v>0.28000000000000003</v>
      </c>
      <c r="K75" s="2">
        <v>1</v>
      </c>
      <c r="L75" s="2">
        <v>4.3</v>
      </c>
      <c r="M75" s="2">
        <v>788087.68</v>
      </c>
      <c r="N75" s="2">
        <v>116803.42</v>
      </c>
    </row>
    <row r="76" spans="1:14" x14ac:dyDescent="0.45">
      <c r="A76" s="2" t="s">
        <v>79</v>
      </c>
      <c r="B76" s="3">
        <v>45748</v>
      </c>
      <c r="C76" s="2" t="s">
        <v>54</v>
      </c>
      <c r="D76" s="2" t="s">
        <v>55</v>
      </c>
      <c r="E76" s="2">
        <v>58749.63</v>
      </c>
      <c r="F76" s="2">
        <v>8252</v>
      </c>
      <c r="G76" s="2">
        <v>0.20300000000000001</v>
      </c>
      <c r="H76" s="2">
        <v>20</v>
      </c>
      <c r="I76" s="2">
        <v>85.2</v>
      </c>
      <c r="J76" s="2">
        <v>3.61</v>
      </c>
      <c r="K76" s="2">
        <v>0</v>
      </c>
      <c r="L76" s="2">
        <v>4.5</v>
      </c>
      <c r="M76" s="2">
        <v>680840.36</v>
      </c>
      <c r="N76" s="2">
        <v>68007.679999999993</v>
      </c>
    </row>
    <row r="77" spans="1:14" x14ac:dyDescent="0.45">
      <c r="A77" s="2" t="s">
        <v>80</v>
      </c>
      <c r="B77" s="3">
        <v>45658</v>
      </c>
      <c r="C77" s="2" t="s">
        <v>63</v>
      </c>
      <c r="D77" s="2" t="s">
        <v>57</v>
      </c>
      <c r="E77" s="2">
        <v>56973.18</v>
      </c>
      <c r="F77" s="2">
        <v>6662</v>
      </c>
      <c r="G77" s="2">
        <v>0.1</v>
      </c>
      <c r="H77" s="2">
        <v>15</v>
      </c>
      <c r="I77" s="2">
        <v>77.7</v>
      </c>
      <c r="J77" s="2">
        <v>7.52</v>
      </c>
      <c r="K77" s="2">
        <v>1</v>
      </c>
      <c r="L77" s="2">
        <v>3.2</v>
      </c>
      <c r="M77" s="2">
        <v>643657.47</v>
      </c>
      <c r="N77" s="2">
        <v>87022.45</v>
      </c>
    </row>
    <row r="78" spans="1:14" x14ac:dyDescent="0.45">
      <c r="A78" s="2" t="s">
        <v>80</v>
      </c>
      <c r="B78" s="3">
        <v>45689</v>
      </c>
      <c r="C78" s="2" t="s">
        <v>63</v>
      </c>
      <c r="D78" s="2" t="s">
        <v>57</v>
      </c>
      <c r="E78" s="2">
        <v>54872.82</v>
      </c>
      <c r="F78" s="2">
        <v>5962</v>
      </c>
      <c r="G78" s="2">
        <v>6.4000000000000001E-2</v>
      </c>
      <c r="H78" s="2">
        <v>12</v>
      </c>
      <c r="I78" s="2">
        <v>85.4</v>
      </c>
      <c r="J78" s="2">
        <v>2.58</v>
      </c>
      <c r="K78" s="2">
        <v>0</v>
      </c>
      <c r="L78" s="2">
        <v>2.9</v>
      </c>
      <c r="M78" s="2">
        <v>691112.6</v>
      </c>
      <c r="N78" s="2">
        <v>109212.83</v>
      </c>
    </row>
    <row r="79" spans="1:14" x14ac:dyDescent="0.45">
      <c r="A79" s="2" t="s">
        <v>80</v>
      </c>
      <c r="B79" s="3">
        <v>45717</v>
      </c>
      <c r="C79" s="2" t="s">
        <v>63</v>
      </c>
      <c r="D79" s="2" t="s">
        <v>57</v>
      </c>
      <c r="E79" s="2">
        <v>80562.81</v>
      </c>
      <c r="F79" s="2">
        <v>7470</v>
      </c>
      <c r="G79" s="2">
        <v>0.17199999999999999</v>
      </c>
      <c r="H79" s="2">
        <v>16</v>
      </c>
      <c r="I79" s="2">
        <v>83.5</v>
      </c>
      <c r="J79" s="2">
        <v>2.29</v>
      </c>
      <c r="K79" s="2">
        <v>0</v>
      </c>
      <c r="L79" s="2">
        <v>3.3</v>
      </c>
      <c r="M79" s="2">
        <v>776922.17</v>
      </c>
      <c r="N79" s="2">
        <v>150701.93</v>
      </c>
    </row>
    <row r="80" spans="1:14" x14ac:dyDescent="0.45">
      <c r="A80" s="2" t="s">
        <v>80</v>
      </c>
      <c r="B80" s="3">
        <v>45748</v>
      </c>
      <c r="C80" s="2" t="s">
        <v>63</v>
      </c>
      <c r="D80" s="2" t="s">
        <v>57</v>
      </c>
      <c r="E80" s="2">
        <v>77999.899999999994</v>
      </c>
      <c r="F80" s="2">
        <v>5974</v>
      </c>
      <c r="G80" s="2">
        <v>0.252</v>
      </c>
      <c r="H80" s="2">
        <v>14</v>
      </c>
      <c r="I80" s="2">
        <v>81.3</v>
      </c>
      <c r="J80" s="2">
        <v>2.39</v>
      </c>
      <c r="K80" s="2">
        <v>0</v>
      </c>
      <c r="L80" s="2">
        <v>3.2</v>
      </c>
      <c r="M80" s="2">
        <v>636561.34</v>
      </c>
      <c r="N80" s="2">
        <v>93861.06</v>
      </c>
    </row>
    <row r="81" spans="1:14" x14ac:dyDescent="0.45">
      <c r="A81" s="2" t="s">
        <v>81</v>
      </c>
      <c r="B81" s="3">
        <v>45658</v>
      </c>
      <c r="C81" s="2" t="s">
        <v>66</v>
      </c>
      <c r="D81" s="2" t="s">
        <v>67</v>
      </c>
      <c r="E81" s="2">
        <v>60881.01</v>
      </c>
      <c r="F81" s="2">
        <v>5410</v>
      </c>
      <c r="G81" s="2">
        <v>0.17899999999999999</v>
      </c>
      <c r="H81" s="2">
        <v>15</v>
      </c>
      <c r="I81" s="2">
        <v>83.9</v>
      </c>
      <c r="J81" s="2">
        <v>5.24</v>
      </c>
      <c r="K81" s="2">
        <v>0</v>
      </c>
      <c r="L81" s="2">
        <v>4.5999999999999996</v>
      </c>
      <c r="M81" s="2">
        <v>621369.57999999996</v>
      </c>
      <c r="N81" s="2">
        <v>85493.64</v>
      </c>
    </row>
    <row r="82" spans="1:14" x14ac:dyDescent="0.45">
      <c r="A82" s="2" t="s">
        <v>81</v>
      </c>
      <c r="B82" s="3">
        <v>45689</v>
      </c>
      <c r="C82" s="2" t="s">
        <v>66</v>
      </c>
      <c r="D82" s="2" t="s">
        <v>67</v>
      </c>
      <c r="E82" s="2">
        <v>60628.38</v>
      </c>
      <c r="F82" s="2">
        <v>4451</v>
      </c>
      <c r="G82" s="2">
        <v>9.5000000000000001E-2</v>
      </c>
      <c r="H82" s="2">
        <v>10</v>
      </c>
      <c r="I82" s="2">
        <v>89.6</v>
      </c>
      <c r="J82" s="2">
        <v>3.17</v>
      </c>
      <c r="K82" s="2">
        <v>0</v>
      </c>
      <c r="L82" s="2">
        <v>4.5999999999999996</v>
      </c>
      <c r="M82" s="2">
        <v>682208.01</v>
      </c>
      <c r="N82" s="2">
        <v>110318.84</v>
      </c>
    </row>
    <row r="83" spans="1:14" x14ac:dyDescent="0.45">
      <c r="A83" s="2" t="s">
        <v>81</v>
      </c>
      <c r="B83" s="3">
        <v>45717</v>
      </c>
      <c r="C83" s="2" t="s">
        <v>66</v>
      </c>
      <c r="D83" s="2" t="s">
        <v>67</v>
      </c>
      <c r="E83" s="2">
        <v>72731.14</v>
      </c>
      <c r="F83" s="2">
        <v>4644</v>
      </c>
      <c r="G83" s="2">
        <v>8.4000000000000005E-2</v>
      </c>
      <c r="H83" s="2">
        <v>15</v>
      </c>
      <c r="I83" s="2">
        <v>87.1</v>
      </c>
      <c r="J83" s="2">
        <v>2.66</v>
      </c>
      <c r="K83" s="2">
        <v>0</v>
      </c>
      <c r="L83" s="2">
        <v>4.5999999999999996</v>
      </c>
      <c r="M83" s="2">
        <v>727241.86</v>
      </c>
      <c r="N83" s="2">
        <v>155810.29999999999</v>
      </c>
    </row>
    <row r="84" spans="1:14" x14ac:dyDescent="0.45">
      <c r="A84" s="2" t="s">
        <v>81</v>
      </c>
      <c r="B84" s="3">
        <v>45748</v>
      </c>
      <c r="C84" s="2" t="s">
        <v>66</v>
      </c>
      <c r="D84" s="2" t="s">
        <v>67</v>
      </c>
      <c r="E84" s="2">
        <v>36475.71</v>
      </c>
      <c r="F84" s="2">
        <v>3559</v>
      </c>
      <c r="G84" s="2">
        <v>0.03</v>
      </c>
      <c r="H84" s="2">
        <v>8</v>
      </c>
      <c r="I84" s="2">
        <v>83.6</v>
      </c>
      <c r="J84" s="2">
        <v>1.41</v>
      </c>
      <c r="K84" s="2">
        <v>0</v>
      </c>
      <c r="L84" s="2">
        <v>4.2</v>
      </c>
      <c r="M84" s="2">
        <v>569100.78</v>
      </c>
      <c r="N84" s="2">
        <v>104808.78</v>
      </c>
    </row>
    <row r="85" spans="1:14" x14ac:dyDescent="0.45">
      <c r="A85" s="2" t="s">
        <v>82</v>
      </c>
      <c r="B85" s="3">
        <v>45658</v>
      </c>
      <c r="C85" s="2" t="s">
        <v>66</v>
      </c>
      <c r="D85" s="2" t="s">
        <v>57</v>
      </c>
      <c r="E85" s="2">
        <v>55388.11</v>
      </c>
      <c r="F85" s="2">
        <v>3091</v>
      </c>
      <c r="G85" s="2">
        <v>0.108</v>
      </c>
      <c r="H85" s="2">
        <v>7</v>
      </c>
      <c r="I85" s="2">
        <v>85.4</v>
      </c>
      <c r="J85" s="2">
        <v>7.34</v>
      </c>
      <c r="K85" s="2">
        <v>0</v>
      </c>
      <c r="L85" s="2">
        <v>4.9000000000000004</v>
      </c>
      <c r="M85" s="2">
        <v>574436.29</v>
      </c>
      <c r="N85" s="2">
        <v>80271.990000000005</v>
      </c>
    </row>
    <row r="86" spans="1:14" x14ac:dyDescent="0.45">
      <c r="A86" s="2" t="s">
        <v>82</v>
      </c>
      <c r="B86" s="3">
        <v>45717</v>
      </c>
      <c r="C86" s="2" t="s">
        <v>66</v>
      </c>
      <c r="D86" s="2" t="s">
        <v>57</v>
      </c>
      <c r="E86" s="2">
        <v>78231.91</v>
      </c>
      <c r="F86" s="2">
        <v>3788</v>
      </c>
      <c r="G86" s="2">
        <v>5.8999999999999997E-2</v>
      </c>
      <c r="H86" s="2">
        <v>11</v>
      </c>
      <c r="I86" s="2">
        <v>88.5</v>
      </c>
      <c r="J86" s="2">
        <v>15.51</v>
      </c>
      <c r="K86" s="2">
        <v>0</v>
      </c>
      <c r="L86" s="2">
        <v>4.3</v>
      </c>
      <c r="M86" s="2">
        <v>614596.31999999995</v>
      </c>
      <c r="N86" s="2">
        <v>131199.41</v>
      </c>
    </row>
    <row r="87" spans="1:14" x14ac:dyDescent="0.45">
      <c r="A87" s="2" t="s">
        <v>82</v>
      </c>
      <c r="B87" s="3">
        <v>45748</v>
      </c>
      <c r="C87" s="2" t="s">
        <v>66</v>
      </c>
      <c r="D87" s="2" t="s">
        <v>57</v>
      </c>
      <c r="E87" s="2">
        <v>18996.32</v>
      </c>
      <c r="F87" s="2">
        <v>1260</v>
      </c>
      <c r="G87" s="2">
        <v>0.14499999999999999</v>
      </c>
      <c r="H87" s="2">
        <v>9</v>
      </c>
      <c r="I87" s="2">
        <v>86.4</v>
      </c>
      <c r="J87" s="2">
        <v>4.3099999999999996</v>
      </c>
      <c r="K87" s="2">
        <v>0</v>
      </c>
      <c r="L87" s="2">
        <v>4.5999999999999996</v>
      </c>
      <c r="M87" s="2">
        <v>450711.92</v>
      </c>
      <c r="N87" s="2">
        <v>90043.76</v>
      </c>
    </row>
    <row r="88" spans="1:14" x14ac:dyDescent="0.45">
      <c r="A88" s="2" t="s">
        <v>83</v>
      </c>
      <c r="B88" s="3">
        <v>45658</v>
      </c>
      <c r="C88" s="2" t="s">
        <v>63</v>
      </c>
      <c r="D88" s="2" t="s">
        <v>67</v>
      </c>
      <c r="E88" s="2">
        <v>50517.94</v>
      </c>
      <c r="F88" s="2">
        <v>7024</v>
      </c>
      <c r="G88" s="2">
        <v>2.9000000000000001E-2</v>
      </c>
      <c r="H88" s="2">
        <v>18</v>
      </c>
      <c r="I88" s="2">
        <v>79.2</v>
      </c>
      <c r="J88" s="2">
        <v>6.61</v>
      </c>
      <c r="K88" s="2">
        <v>1</v>
      </c>
      <c r="L88" s="2">
        <v>4.0999999999999996</v>
      </c>
      <c r="M88" s="2">
        <v>711213.46</v>
      </c>
      <c r="N88" s="2">
        <v>105863.26</v>
      </c>
    </row>
    <row r="89" spans="1:14" x14ac:dyDescent="0.45">
      <c r="A89" s="2" t="s">
        <v>83</v>
      </c>
      <c r="B89" s="3">
        <v>45689</v>
      </c>
      <c r="C89" s="2" t="s">
        <v>63</v>
      </c>
      <c r="D89" s="2" t="s">
        <v>67</v>
      </c>
      <c r="E89" s="2">
        <v>141540.29</v>
      </c>
      <c r="F89" s="2">
        <v>5400</v>
      </c>
      <c r="G89" s="2">
        <v>1.2999999999999999E-2</v>
      </c>
      <c r="H89" s="2">
        <v>12</v>
      </c>
      <c r="I89" s="2">
        <v>87</v>
      </c>
      <c r="J89" s="2">
        <v>4.26</v>
      </c>
      <c r="K89" s="2">
        <v>0</v>
      </c>
      <c r="L89" s="2">
        <v>4.5</v>
      </c>
      <c r="M89" s="2">
        <v>627171.9</v>
      </c>
      <c r="N89" s="2">
        <v>105772.75</v>
      </c>
    </row>
    <row r="90" spans="1:14" x14ac:dyDescent="0.45">
      <c r="A90" s="2" t="s">
        <v>83</v>
      </c>
      <c r="B90" s="3">
        <v>45717</v>
      </c>
      <c r="C90" s="2" t="s">
        <v>63</v>
      </c>
      <c r="D90" s="2" t="s">
        <v>67</v>
      </c>
      <c r="E90" s="2">
        <v>82116.19</v>
      </c>
      <c r="F90" s="2">
        <v>5988</v>
      </c>
      <c r="G90" s="2">
        <v>0.04</v>
      </c>
      <c r="H90" s="2">
        <v>17</v>
      </c>
      <c r="I90" s="2">
        <v>91.8</v>
      </c>
      <c r="J90" s="2">
        <v>5.75</v>
      </c>
      <c r="K90" s="2">
        <v>0</v>
      </c>
      <c r="L90" s="2">
        <v>4.7</v>
      </c>
      <c r="M90" s="2">
        <v>739852.58</v>
      </c>
      <c r="N90" s="2">
        <v>129386.43</v>
      </c>
    </row>
    <row r="91" spans="1:14" x14ac:dyDescent="0.45">
      <c r="A91" s="2" t="s">
        <v>83</v>
      </c>
      <c r="B91" s="3">
        <v>45748</v>
      </c>
      <c r="C91" s="2" t="s">
        <v>63</v>
      </c>
      <c r="D91" s="2" t="s">
        <v>67</v>
      </c>
      <c r="E91" s="2">
        <v>31207.51</v>
      </c>
      <c r="F91" s="2">
        <v>3701</v>
      </c>
      <c r="G91" s="2">
        <v>4.2999999999999997E-2</v>
      </c>
      <c r="H91" s="2">
        <v>11</v>
      </c>
      <c r="I91" s="2">
        <v>84.7</v>
      </c>
      <c r="J91" s="2">
        <v>0.33</v>
      </c>
      <c r="K91" s="2">
        <v>0</v>
      </c>
      <c r="L91" s="2">
        <v>4.3</v>
      </c>
      <c r="M91" s="2">
        <v>586307.22</v>
      </c>
      <c r="N91" s="2">
        <v>73927.850000000006</v>
      </c>
    </row>
    <row r="92" spans="1:14" x14ac:dyDescent="0.45">
      <c r="A92" s="2" t="s">
        <v>84</v>
      </c>
      <c r="B92" s="3">
        <v>45658</v>
      </c>
      <c r="C92" s="2" t="s">
        <v>66</v>
      </c>
      <c r="D92" s="2" t="s">
        <v>55</v>
      </c>
      <c r="E92" s="2">
        <v>38966.589999999997</v>
      </c>
      <c r="F92" s="2">
        <v>4509</v>
      </c>
      <c r="G92" s="2">
        <v>0.19400000000000001</v>
      </c>
      <c r="H92" s="2">
        <v>14</v>
      </c>
      <c r="I92" s="2">
        <v>91.1</v>
      </c>
      <c r="J92" s="2">
        <v>2.92</v>
      </c>
      <c r="K92" s="2">
        <v>0</v>
      </c>
      <c r="L92" s="2">
        <v>4.5999999999999996</v>
      </c>
      <c r="M92" s="2">
        <v>585937.48</v>
      </c>
      <c r="N92" s="2">
        <v>82624.2</v>
      </c>
    </row>
    <row r="93" spans="1:14" x14ac:dyDescent="0.45">
      <c r="A93" s="2" t="s">
        <v>84</v>
      </c>
      <c r="B93" s="3">
        <v>45689</v>
      </c>
      <c r="C93" s="2" t="s">
        <v>66</v>
      </c>
      <c r="D93" s="2" t="s">
        <v>55</v>
      </c>
      <c r="E93" s="2">
        <v>67439.3</v>
      </c>
      <c r="F93" s="2">
        <v>6477</v>
      </c>
      <c r="G93" s="2">
        <v>0</v>
      </c>
      <c r="H93" s="2">
        <v>16</v>
      </c>
      <c r="I93" s="2">
        <v>90.9</v>
      </c>
      <c r="J93" s="2">
        <v>1.64</v>
      </c>
      <c r="K93" s="2">
        <v>0</v>
      </c>
      <c r="L93" s="2">
        <v>4.5</v>
      </c>
      <c r="M93" s="2">
        <v>753473.55</v>
      </c>
      <c r="N93" s="2">
        <v>151527.22</v>
      </c>
    </row>
    <row r="94" spans="1:14" x14ac:dyDescent="0.45">
      <c r="A94" s="2" t="s">
        <v>84</v>
      </c>
      <c r="B94" s="3">
        <v>45717</v>
      </c>
      <c r="C94" s="2" t="s">
        <v>66</v>
      </c>
      <c r="D94" s="2" t="s">
        <v>55</v>
      </c>
      <c r="E94" s="2">
        <v>86421.88</v>
      </c>
      <c r="F94" s="2">
        <v>7970</v>
      </c>
      <c r="G94" s="2">
        <v>7.2999999999999995E-2</v>
      </c>
      <c r="H94" s="2">
        <v>17</v>
      </c>
      <c r="I94" s="2">
        <v>91.3</v>
      </c>
      <c r="J94" s="2">
        <v>0.8</v>
      </c>
      <c r="K94" s="2">
        <v>0</v>
      </c>
      <c r="L94" s="2">
        <v>5</v>
      </c>
      <c r="M94" s="2">
        <v>838250.32</v>
      </c>
      <c r="N94" s="2">
        <v>122939.34</v>
      </c>
    </row>
    <row r="95" spans="1:14" x14ac:dyDescent="0.45">
      <c r="A95" s="2" t="s">
        <v>84</v>
      </c>
      <c r="B95" s="3">
        <v>45748</v>
      </c>
      <c r="C95" s="2" t="s">
        <v>66</v>
      </c>
      <c r="D95" s="2" t="s">
        <v>55</v>
      </c>
      <c r="E95" s="2">
        <v>9534.65</v>
      </c>
      <c r="F95" s="2">
        <v>6057</v>
      </c>
      <c r="G95" s="2">
        <v>7.3999999999999996E-2</v>
      </c>
      <c r="H95" s="2">
        <v>15</v>
      </c>
      <c r="I95" s="2">
        <v>94.1</v>
      </c>
      <c r="J95" s="2">
        <v>5.79</v>
      </c>
      <c r="K95" s="2">
        <v>0</v>
      </c>
      <c r="L95" s="2">
        <v>4.5</v>
      </c>
      <c r="M95" s="2">
        <v>607898.12</v>
      </c>
      <c r="N95" s="2">
        <v>135404.85</v>
      </c>
    </row>
    <row r="96" spans="1:14" x14ac:dyDescent="0.45">
      <c r="A96" s="2" t="s">
        <v>85</v>
      </c>
      <c r="B96" s="3">
        <v>45658</v>
      </c>
      <c r="C96" s="2" t="s">
        <v>66</v>
      </c>
      <c r="D96" s="2" t="s">
        <v>67</v>
      </c>
      <c r="E96" s="2">
        <v>61132.07</v>
      </c>
      <c r="F96" s="2">
        <v>6394</v>
      </c>
      <c r="G96" s="2">
        <v>0.16300000000000001</v>
      </c>
      <c r="H96" s="2">
        <v>19</v>
      </c>
      <c r="I96" s="2">
        <v>91</v>
      </c>
      <c r="J96" s="2">
        <v>19.600000000000001</v>
      </c>
      <c r="K96" s="2">
        <v>0</v>
      </c>
      <c r="L96" s="2">
        <v>4.4000000000000004</v>
      </c>
      <c r="M96" s="2">
        <v>691113.62</v>
      </c>
      <c r="N96" s="2">
        <v>135145.44</v>
      </c>
    </row>
    <row r="97" spans="1:14" x14ac:dyDescent="0.45">
      <c r="A97" s="2" t="s">
        <v>85</v>
      </c>
      <c r="B97" s="3">
        <v>45689</v>
      </c>
      <c r="C97" s="2" t="s">
        <v>66</v>
      </c>
      <c r="D97" s="2" t="s">
        <v>67</v>
      </c>
      <c r="E97" s="2">
        <v>78839.39</v>
      </c>
      <c r="F97" s="2">
        <v>5150</v>
      </c>
      <c r="G97" s="2">
        <v>0.17100000000000001</v>
      </c>
      <c r="H97" s="2">
        <v>13</v>
      </c>
      <c r="I97" s="2">
        <v>85.8</v>
      </c>
      <c r="J97" s="2">
        <v>7.57</v>
      </c>
      <c r="K97" s="2">
        <v>0</v>
      </c>
      <c r="L97" s="2">
        <v>4.3</v>
      </c>
      <c r="M97" s="2">
        <v>735509.4</v>
      </c>
      <c r="N97" s="2">
        <v>83895.96</v>
      </c>
    </row>
    <row r="98" spans="1:14" x14ac:dyDescent="0.45">
      <c r="A98" s="2" t="s">
        <v>85</v>
      </c>
      <c r="B98" s="3">
        <v>45748</v>
      </c>
      <c r="C98" s="2" t="s">
        <v>66</v>
      </c>
      <c r="D98" s="2" t="s">
        <v>67</v>
      </c>
      <c r="E98" s="2">
        <v>55101.1</v>
      </c>
      <c r="F98" s="2">
        <v>5281</v>
      </c>
      <c r="G98" s="2">
        <v>0.189</v>
      </c>
      <c r="H98" s="2">
        <v>11</v>
      </c>
      <c r="I98" s="2">
        <v>91</v>
      </c>
      <c r="J98" s="2">
        <v>2.7</v>
      </c>
      <c r="K98" s="2">
        <v>0</v>
      </c>
      <c r="L98" s="2">
        <v>4.4000000000000004</v>
      </c>
      <c r="M98" s="2">
        <v>675177.68</v>
      </c>
      <c r="N98" s="2">
        <v>105628.68</v>
      </c>
    </row>
    <row r="99" spans="1:14" x14ac:dyDescent="0.45">
      <c r="A99" s="2" t="s">
        <v>86</v>
      </c>
      <c r="B99" s="3">
        <v>45658</v>
      </c>
      <c r="C99" s="2" t="s">
        <v>54</v>
      </c>
      <c r="D99" s="2" t="s">
        <v>67</v>
      </c>
      <c r="E99" s="2">
        <v>53084.76</v>
      </c>
      <c r="F99" s="2">
        <v>3642</v>
      </c>
      <c r="G99" s="2">
        <v>0.15</v>
      </c>
      <c r="H99" s="2">
        <v>12</v>
      </c>
      <c r="I99" s="2">
        <v>91.4</v>
      </c>
      <c r="J99" s="2">
        <v>0.2</v>
      </c>
      <c r="K99" s="2">
        <v>0</v>
      </c>
      <c r="L99" s="2">
        <v>4.4000000000000004</v>
      </c>
      <c r="M99" s="2">
        <v>635181.35</v>
      </c>
      <c r="N99" s="2">
        <v>83341.25</v>
      </c>
    </row>
    <row r="100" spans="1:14" x14ac:dyDescent="0.45">
      <c r="A100" s="2" t="s">
        <v>86</v>
      </c>
      <c r="B100" s="3">
        <v>45689</v>
      </c>
      <c r="C100" s="2" t="s">
        <v>54</v>
      </c>
      <c r="D100" s="2" t="s">
        <v>67</v>
      </c>
      <c r="E100" s="2">
        <v>63101.59</v>
      </c>
      <c r="F100" s="2">
        <v>4373</v>
      </c>
      <c r="G100" s="2">
        <v>0.17299999999999999</v>
      </c>
      <c r="H100" s="2">
        <v>14</v>
      </c>
      <c r="I100" s="2">
        <v>90.4</v>
      </c>
      <c r="J100" s="2">
        <v>7.87</v>
      </c>
      <c r="K100" s="2">
        <v>0</v>
      </c>
      <c r="L100" s="2">
        <v>4.7</v>
      </c>
      <c r="M100" s="2">
        <v>586626.93999999994</v>
      </c>
      <c r="N100" s="2">
        <v>86498.55</v>
      </c>
    </row>
    <row r="101" spans="1:14" x14ac:dyDescent="0.45">
      <c r="A101" s="2" t="s">
        <v>86</v>
      </c>
      <c r="B101" s="3">
        <v>45717</v>
      </c>
      <c r="C101" s="2" t="s">
        <v>54</v>
      </c>
      <c r="D101" s="2" t="s">
        <v>67</v>
      </c>
      <c r="E101" s="2">
        <v>90084.4</v>
      </c>
      <c r="F101" s="2">
        <v>6832</v>
      </c>
      <c r="G101" s="2">
        <v>0.185</v>
      </c>
      <c r="H101" s="2">
        <v>14</v>
      </c>
      <c r="I101" s="2">
        <v>80.5</v>
      </c>
      <c r="J101" s="2">
        <v>0.77</v>
      </c>
      <c r="K101" s="2">
        <v>1</v>
      </c>
      <c r="L101" s="2">
        <v>4.4000000000000004</v>
      </c>
      <c r="M101" s="2">
        <v>740102.64</v>
      </c>
      <c r="N101" s="2">
        <v>114299.07</v>
      </c>
    </row>
    <row r="102" spans="1:14" x14ac:dyDescent="0.45">
      <c r="A102" s="2" t="s">
        <v>86</v>
      </c>
      <c r="B102" s="3">
        <v>45748</v>
      </c>
      <c r="C102" s="2" t="s">
        <v>54</v>
      </c>
      <c r="D102" s="2" t="s">
        <v>67</v>
      </c>
      <c r="E102" s="2">
        <v>32266.639999999999</v>
      </c>
      <c r="F102" s="2">
        <v>2414</v>
      </c>
      <c r="G102" s="2">
        <v>0.08</v>
      </c>
      <c r="H102" s="2">
        <v>7</v>
      </c>
      <c r="I102" s="2">
        <v>92.1</v>
      </c>
      <c r="J102" s="2">
        <v>1.48</v>
      </c>
      <c r="K102" s="2">
        <v>0</v>
      </c>
      <c r="L102" s="2">
        <v>5</v>
      </c>
      <c r="M102" s="2">
        <v>625514.04</v>
      </c>
      <c r="N102" s="2">
        <v>120685.08</v>
      </c>
    </row>
    <row r="103" spans="1:14" x14ac:dyDescent="0.45">
      <c r="A103" s="2" t="s">
        <v>87</v>
      </c>
      <c r="B103" s="3">
        <v>45658</v>
      </c>
      <c r="C103" s="2" t="s">
        <v>66</v>
      </c>
      <c r="D103" s="2" t="s">
        <v>57</v>
      </c>
      <c r="E103" s="2">
        <v>57919.07</v>
      </c>
      <c r="F103" s="2">
        <v>7374</v>
      </c>
      <c r="G103" s="2">
        <v>0.10299999999999999</v>
      </c>
      <c r="H103" s="2">
        <v>21</v>
      </c>
      <c r="I103" s="2">
        <v>82.3</v>
      </c>
      <c r="J103" s="2">
        <v>2.87</v>
      </c>
      <c r="K103" s="2">
        <v>0</v>
      </c>
      <c r="L103" s="2">
        <v>2.9</v>
      </c>
      <c r="M103" s="2">
        <v>727227.2</v>
      </c>
      <c r="N103" s="2">
        <v>121292.01</v>
      </c>
    </row>
    <row r="104" spans="1:14" x14ac:dyDescent="0.45">
      <c r="A104" s="2" t="s">
        <v>87</v>
      </c>
      <c r="B104" s="3">
        <v>45689</v>
      </c>
      <c r="C104" s="2" t="s">
        <v>66</v>
      </c>
      <c r="D104" s="2" t="s">
        <v>57</v>
      </c>
      <c r="E104" s="2">
        <v>74679.350000000006</v>
      </c>
      <c r="F104" s="2">
        <v>8739</v>
      </c>
      <c r="G104" s="2">
        <v>5.6000000000000001E-2</v>
      </c>
      <c r="H104" s="2">
        <v>21</v>
      </c>
      <c r="I104" s="2">
        <v>91.8</v>
      </c>
      <c r="J104" s="2">
        <v>2.83</v>
      </c>
      <c r="K104" s="2">
        <v>0</v>
      </c>
      <c r="L104" s="2">
        <v>3</v>
      </c>
      <c r="M104" s="2">
        <v>783797.89</v>
      </c>
      <c r="N104" s="2">
        <v>157620.70000000001</v>
      </c>
    </row>
    <row r="105" spans="1:14" x14ac:dyDescent="0.45">
      <c r="A105" s="2" t="s">
        <v>87</v>
      </c>
      <c r="B105" s="3">
        <v>45717</v>
      </c>
      <c r="C105" s="2" t="s">
        <v>66</v>
      </c>
      <c r="D105" s="2" t="s">
        <v>57</v>
      </c>
      <c r="E105" s="2">
        <v>64294.23</v>
      </c>
      <c r="F105" s="2">
        <v>6992</v>
      </c>
      <c r="G105" s="2">
        <v>0.13300000000000001</v>
      </c>
      <c r="H105" s="2">
        <v>14</v>
      </c>
      <c r="I105" s="2">
        <v>94.1</v>
      </c>
      <c r="J105" s="2">
        <v>0.25</v>
      </c>
      <c r="K105" s="2">
        <v>0</v>
      </c>
      <c r="L105" s="2">
        <v>3</v>
      </c>
      <c r="M105" s="2">
        <v>795153.84</v>
      </c>
      <c r="N105" s="2">
        <v>143194.21</v>
      </c>
    </row>
    <row r="106" spans="1:14" x14ac:dyDescent="0.45">
      <c r="A106" s="2" t="s">
        <v>87</v>
      </c>
      <c r="B106" s="3">
        <v>45748</v>
      </c>
      <c r="C106" s="2" t="s">
        <v>66</v>
      </c>
      <c r="D106" s="2" t="s">
        <v>57</v>
      </c>
      <c r="E106" s="2">
        <v>31042.03</v>
      </c>
      <c r="F106" s="2">
        <v>7107</v>
      </c>
      <c r="G106" s="2">
        <v>5.0999999999999997E-2</v>
      </c>
      <c r="H106" s="2">
        <v>15</v>
      </c>
      <c r="I106" s="2">
        <v>87</v>
      </c>
      <c r="J106" s="2">
        <v>13.33</v>
      </c>
      <c r="K106" s="2">
        <v>0</v>
      </c>
      <c r="L106" s="2">
        <v>3.2</v>
      </c>
      <c r="M106" s="2">
        <v>665594.93999999994</v>
      </c>
      <c r="N106" s="2">
        <v>127597.34</v>
      </c>
    </row>
    <row r="107" spans="1:14" x14ac:dyDescent="0.45">
      <c r="A107" s="2" t="s">
        <v>88</v>
      </c>
      <c r="B107" s="3">
        <v>45658</v>
      </c>
      <c r="C107" s="2" t="s">
        <v>54</v>
      </c>
      <c r="D107" s="2" t="s">
        <v>67</v>
      </c>
      <c r="E107" s="2">
        <v>75265.02</v>
      </c>
      <c r="F107" s="2">
        <v>6975</v>
      </c>
      <c r="G107" s="2">
        <v>0.157</v>
      </c>
      <c r="H107" s="2">
        <v>20</v>
      </c>
      <c r="I107" s="2">
        <v>73.8</v>
      </c>
      <c r="J107" s="2">
        <v>6.35</v>
      </c>
      <c r="K107" s="2">
        <v>1</v>
      </c>
      <c r="L107" s="2">
        <v>3.8</v>
      </c>
      <c r="M107" s="2">
        <v>709478.39</v>
      </c>
      <c r="N107" s="2">
        <v>71294.27</v>
      </c>
    </row>
    <row r="108" spans="1:14" x14ac:dyDescent="0.45">
      <c r="A108" s="2" t="s">
        <v>88</v>
      </c>
      <c r="B108" s="3">
        <v>45689</v>
      </c>
      <c r="C108" s="2" t="s">
        <v>54</v>
      </c>
      <c r="D108" s="2" t="s">
        <v>67</v>
      </c>
      <c r="E108" s="2">
        <v>69411.7</v>
      </c>
      <c r="F108" s="2">
        <v>5493</v>
      </c>
      <c r="G108" s="2">
        <v>0.29199999999999998</v>
      </c>
      <c r="H108" s="2">
        <v>13</v>
      </c>
      <c r="I108" s="2">
        <v>86.5</v>
      </c>
      <c r="J108" s="2">
        <v>6.69</v>
      </c>
      <c r="K108" s="2">
        <v>0</v>
      </c>
      <c r="L108" s="2">
        <v>3.8</v>
      </c>
      <c r="M108" s="2">
        <v>664162.49</v>
      </c>
      <c r="N108" s="2">
        <v>98291.06</v>
      </c>
    </row>
    <row r="109" spans="1:14" x14ac:dyDescent="0.45">
      <c r="A109" s="2" t="s">
        <v>88</v>
      </c>
      <c r="B109" s="3">
        <v>45717</v>
      </c>
      <c r="C109" s="2" t="s">
        <v>54</v>
      </c>
      <c r="D109" s="2" t="s">
        <v>67</v>
      </c>
      <c r="E109" s="2">
        <v>51056.15</v>
      </c>
      <c r="F109" s="2">
        <v>5686</v>
      </c>
      <c r="G109" s="2">
        <v>8.8999999999999996E-2</v>
      </c>
      <c r="H109" s="2">
        <v>13</v>
      </c>
      <c r="I109" s="2">
        <v>89.9</v>
      </c>
      <c r="J109" s="2">
        <v>1.28</v>
      </c>
      <c r="K109" s="2">
        <v>0</v>
      </c>
      <c r="L109" s="2">
        <v>4.2</v>
      </c>
      <c r="M109" s="2">
        <v>633494.21</v>
      </c>
      <c r="N109" s="2">
        <v>105739.47</v>
      </c>
    </row>
    <row r="110" spans="1:14" x14ac:dyDescent="0.45">
      <c r="A110" s="2" t="s">
        <v>88</v>
      </c>
      <c r="B110" s="3">
        <v>45748</v>
      </c>
      <c r="C110" s="2" t="s">
        <v>54</v>
      </c>
      <c r="D110" s="2" t="s">
        <v>67</v>
      </c>
      <c r="E110" s="2">
        <v>52758.01</v>
      </c>
      <c r="F110" s="2">
        <v>4063</v>
      </c>
      <c r="G110" s="2">
        <v>5.7000000000000002E-2</v>
      </c>
      <c r="H110" s="2">
        <v>12</v>
      </c>
      <c r="I110" s="2">
        <v>91.7</v>
      </c>
      <c r="J110" s="2">
        <v>0.92</v>
      </c>
      <c r="K110" s="2">
        <v>0</v>
      </c>
      <c r="L110" s="2">
        <v>3.5</v>
      </c>
      <c r="M110" s="2">
        <v>713611.16</v>
      </c>
      <c r="N110" s="2">
        <v>129717.18</v>
      </c>
    </row>
    <row r="111" spans="1:14" x14ac:dyDescent="0.45">
      <c r="A111" s="2" t="s">
        <v>89</v>
      </c>
      <c r="B111" s="3">
        <v>45658</v>
      </c>
      <c r="C111" s="2" t="s">
        <v>66</v>
      </c>
      <c r="D111" s="2" t="s">
        <v>67</v>
      </c>
      <c r="E111" s="2">
        <v>61426.04</v>
      </c>
      <c r="F111" s="2">
        <v>8966</v>
      </c>
      <c r="G111" s="2">
        <v>0.17299999999999999</v>
      </c>
      <c r="H111" s="2">
        <v>22</v>
      </c>
      <c r="I111" s="2">
        <v>76.400000000000006</v>
      </c>
      <c r="J111" s="2">
        <v>1.05</v>
      </c>
      <c r="K111" s="2">
        <v>0</v>
      </c>
      <c r="L111" s="2">
        <v>3.1</v>
      </c>
      <c r="M111" s="2">
        <v>778397.97</v>
      </c>
      <c r="N111" s="2">
        <v>120044.41</v>
      </c>
    </row>
    <row r="112" spans="1:14" x14ac:dyDescent="0.45">
      <c r="A112" s="2" t="s">
        <v>89</v>
      </c>
      <c r="B112" s="3">
        <v>45689</v>
      </c>
      <c r="C112" s="2" t="s">
        <v>66</v>
      </c>
      <c r="D112" s="2" t="s">
        <v>67</v>
      </c>
      <c r="E112" s="2">
        <v>80176.34</v>
      </c>
      <c r="F112" s="2">
        <v>9489</v>
      </c>
      <c r="G112" s="2">
        <v>0.14199999999999999</v>
      </c>
      <c r="H112" s="2">
        <v>22</v>
      </c>
      <c r="I112" s="2">
        <v>94.3</v>
      </c>
      <c r="J112" s="2">
        <v>2.67</v>
      </c>
      <c r="K112" s="2">
        <v>0</v>
      </c>
      <c r="L112" s="2">
        <v>3.5</v>
      </c>
      <c r="M112" s="2">
        <v>873380.02</v>
      </c>
      <c r="N112" s="2">
        <v>149734.76</v>
      </c>
    </row>
    <row r="113" spans="1:14" x14ac:dyDescent="0.45">
      <c r="A113" s="2" t="s">
        <v>89</v>
      </c>
      <c r="B113" s="3">
        <v>45717</v>
      </c>
      <c r="C113" s="2" t="s">
        <v>66</v>
      </c>
      <c r="D113" s="2" t="s">
        <v>67</v>
      </c>
      <c r="E113" s="2">
        <v>33605.18</v>
      </c>
      <c r="F113" s="2">
        <v>9225</v>
      </c>
      <c r="G113" s="2">
        <v>0.159</v>
      </c>
      <c r="H113" s="2">
        <v>23</v>
      </c>
      <c r="I113" s="2">
        <v>88.4</v>
      </c>
      <c r="J113" s="2">
        <v>5.91</v>
      </c>
      <c r="K113" s="2">
        <v>0</v>
      </c>
      <c r="L113" s="2">
        <v>2.8</v>
      </c>
      <c r="M113" s="2">
        <v>697287.9</v>
      </c>
      <c r="N113" s="2">
        <v>128208.33</v>
      </c>
    </row>
    <row r="114" spans="1:14" x14ac:dyDescent="0.45">
      <c r="A114" s="2" t="s">
        <v>89</v>
      </c>
      <c r="B114" s="3">
        <v>45748</v>
      </c>
      <c r="C114" s="2" t="s">
        <v>66</v>
      </c>
      <c r="D114" s="2" t="s">
        <v>67</v>
      </c>
      <c r="E114" s="2">
        <v>25990.54</v>
      </c>
      <c r="F114" s="2">
        <v>9249</v>
      </c>
      <c r="G114" s="2">
        <v>0.13900000000000001</v>
      </c>
      <c r="H114" s="2">
        <v>23</v>
      </c>
      <c r="I114" s="2">
        <v>92.5</v>
      </c>
      <c r="J114" s="2">
        <v>6.37</v>
      </c>
      <c r="K114" s="2">
        <v>0</v>
      </c>
      <c r="L114" s="2">
        <v>3.3</v>
      </c>
      <c r="M114" s="2">
        <v>718074.79</v>
      </c>
      <c r="N114" s="2">
        <v>115819.87</v>
      </c>
    </row>
    <row r="115" spans="1:14" x14ac:dyDescent="0.45">
      <c r="A115" s="2" t="s">
        <v>90</v>
      </c>
      <c r="B115" s="3">
        <v>45658</v>
      </c>
      <c r="C115" s="2" t="s">
        <v>66</v>
      </c>
      <c r="D115" s="2" t="s">
        <v>55</v>
      </c>
      <c r="E115" s="2">
        <v>43685.14</v>
      </c>
      <c r="F115" s="2">
        <v>7821</v>
      </c>
      <c r="G115" s="2">
        <v>0.19</v>
      </c>
      <c r="H115" s="2">
        <v>17</v>
      </c>
      <c r="I115" s="2">
        <v>91</v>
      </c>
      <c r="J115" s="2">
        <v>2.4900000000000002</v>
      </c>
      <c r="K115" s="2">
        <v>1</v>
      </c>
      <c r="L115" s="2">
        <v>4.7</v>
      </c>
      <c r="M115" s="2">
        <v>714942.43</v>
      </c>
      <c r="N115" s="2">
        <v>94697.71</v>
      </c>
    </row>
    <row r="116" spans="1:14" x14ac:dyDescent="0.45">
      <c r="A116" s="2" t="s">
        <v>90</v>
      </c>
      <c r="B116" s="3">
        <v>45689</v>
      </c>
      <c r="C116" s="2" t="s">
        <v>66</v>
      </c>
      <c r="D116" s="2" t="s">
        <v>55</v>
      </c>
      <c r="E116" s="2">
        <v>57360.01</v>
      </c>
      <c r="F116" s="2">
        <v>8434</v>
      </c>
      <c r="G116" s="2">
        <v>0.151</v>
      </c>
      <c r="H116" s="2">
        <v>19</v>
      </c>
      <c r="I116" s="2">
        <v>84.1</v>
      </c>
      <c r="J116" s="2">
        <v>1.56</v>
      </c>
      <c r="K116" s="2">
        <v>0</v>
      </c>
      <c r="L116" s="2">
        <v>4.7</v>
      </c>
      <c r="M116" s="2">
        <v>820519.04</v>
      </c>
      <c r="N116" s="2">
        <v>99035.88</v>
      </c>
    </row>
    <row r="117" spans="1:14" x14ac:dyDescent="0.45">
      <c r="A117" s="2" t="s">
        <v>90</v>
      </c>
      <c r="B117" s="3">
        <v>45717</v>
      </c>
      <c r="C117" s="2" t="s">
        <v>66</v>
      </c>
      <c r="D117" s="2" t="s">
        <v>55</v>
      </c>
      <c r="E117" s="2">
        <v>42415.47</v>
      </c>
      <c r="F117" s="2">
        <v>8512</v>
      </c>
      <c r="G117" s="2">
        <v>0.13300000000000001</v>
      </c>
      <c r="H117" s="2">
        <v>18</v>
      </c>
      <c r="I117" s="2">
        <v>96.8</v>
      </c>
      <c r="J117" s="2">
        <v>14.95</v>
      </c>
      <c r="K117" s="2">
        <v>0</v>
      </c>
      <c r="L117" s="2">
        <v>4.5999999999999996</v>
      </c>
      <c r="M117" s="2">
        <v>684217.32</v>
      </c>
      <c r="N117" s="2">
        <v>136217.19</v>
      </c>
    </row>
    <row r="118" spans="1:14" x14ac:dyDescent="0.45">
      <c r="A118" s="2" t="s">
        <v>90</v>
      </c>
      <c r="B118" s="3">
        <v>45748</v>
      </c>
      <c r="C118" s="2" t="s">
        <v>66</v>
      </c>
      <c r="D118" s="2" t="s">
        <v>55</v>
      </c>
      <c r="E118" s="2">
        <v>54968.98</v>
      </c>
      <c r="F118" s="2">
        <v>7816</v>
      </c>
      <c r="G118" s="2">
        <v>0.23200000000000001</v>
      </c>
      <c r="H118" s="2">
        <v>19</v>
      </c>
      <c r="I118" s="2">
        <v>95.7</v>
      </c>
      <c r="J118" s="2">
        <v>7.85</v>
      </c>
      <c r="K118" s="2">
        <v>0</v>
      </c>
      <c r="L118" s="2">
        <v>4.7</v>
      </c>
      <c r="M118" s="2">
        <v>735480.19</v>
      </c>
      <c r="N118" s="2">
        <v>88342.11</v>
      </c>
    </row>
    <row r="119" spans="1:14" x14ac:dyDescent="0.45">
      <c r="A119" s="2" t="s">
        <v>91</v>
      </c>
      <c r="B119" s="3">
        <v>45658</v>
      </c>
      <c r="C119" s="2" t="s">
        <v>59</v>
      </c>
      <c r="D119" s="2" t="s">
        <v>57</v>
      </c>
      <c r="E119" s="2">
        <v>43896.13</v>
      </c>
      <c r="F119" s="2">
        <v>3853</v>
      </c>
      <c r="G119" s="2">
        <v>8.7999999999999995E-2</v>
      </c>
      <c r="H119" s="2">
        <v>13</v>
      </c>
      <c r="I119" s="2">
        <v>83</v>
      </c>
      <c r="J119" s="2">
        <v>6.8</v>
      </c>
      <c r="K119" s="2">
        <v>0</v>
      </c>
      <c r="L119" s="2">
        <v>4.4000000000000004</v>
      </c>
      <c r="M119" s="2">
        <v>509484.81</v>
      </c>
      <c r="N119" s="2">
        <v>85742.36</v>
      </c>
    </row>
    <row r="120" spans="1:14" x14ac:dyDescent="0.45">
      <c r="A120" s="2" t="s">
        <v>91</v>
      </c>
      <c r="B120" s="3">
        <v>45689</v>
      </c>
      <c r="C120" s="2" t="s">
        <v>59</v>
      </c>
      <c r="D120" s="2" t="s">
        <v>57</v>
      </c>
      <c r="E120" s="2">
        <v>83044.17</v>
      </c>
      <c r="F120" s="2">
        <v>3694</v>
      </c>
      <c r="G120" s="2">
        <v>0</v>
      </c>
      <c r="H120" s="2">
        <v>14</v>
      </c>
      <c r="I120" s="2">
        <v>89.4</v>
      </c>
      <c r="J120" s="2">
        <v>2.2000000000000002</v>
      </c>
      <c r="K120" s="2">
        <v>0</v>
      </c>
      <c r="L120" s="2">
        <v>3.7</v>
      </c>
      <c r="M120" s="2">
        <v>654317.09</v>
      </c>
      <c r="N120" s="2">
        <v>121446.89</v>
      </c>
    </row>
    <row r="121" spans="1:14" x14ac:dyDescent="0.45">
      <c r="A121" s="2" t="s">
        <v>91</v>
      </c>
      <c r="B121" s="3">
        <v>45717</v>
      </c>
      <c r="C121" s="2" t="s">
        <v>59</v>
      </c>
      <c r="D121" s="2" t="s">
        <v>57</v>
      </c>
      <c r="E121" s="2">
        <v>48396.13</v>
      </c>
      <c r="F121" s="2">
        <v>4423</v>
      </c>
      <c r="G121" s="2">
        <v>6.9000000000000006E-2</v>
      </c>
      <c r="H121" s="2">
        <v>15</v>
      </c>
      <c r="I121" s="2">
        <v>85.7</v>
      </c>
      <c r="J121" s="2">
        <v>1.88</v>
      </c>
      <c r="K121" s="2">
        <v>0</v>
      </c>
      <c r="L121" s="2">
        <v>3.9</v>
      </c>
      <c r="M121" s="2">
        <v>557487.26</v>
      </c>
      <c r="N121" s="2">
        <v>76432.19</v>
      </c>
    </row>
    <row r="122" spans="1:14" x14ac:dyDescent="0.45">
      <c r="A122" s="2" t="s">
        <v>91</v>
      </c>
      <c r="B122" s="3">
        <v>45748</v>
      </c>
      <c r="C122" s="2" t="s">
        <v>59</v>
      </c>
      <c r="D122" s="2" t="s">
        <v>57</v>
      </c>
      <c r="E122" s="2">
        <v>19063.48</v>
      </c>
      <c r="F122" s="2">
        <v>1906</v>
      </c>
      <c r="G122" s="2">
        <v>0.216</v>
      </c>
      <c r="H122" s="2">
        <v>10</v>
      </c>
      <c r="I122" s="2">
        <v>97.8</v>
      </c>
      <c r="J122" s="2">
        <v>15.79</v>
      </c>
      <c r="K122" s="2">
        <v>0</v>
      </c>
      <c r="L122" s="2">
        <v>4.4000000000000004</v>
      </c>
      <c r="M122" s="2">
        <v>441275.42</v>
      </c>
      <c r="N122" s="2">
        <v>58234.87</v>
      </c>
    </row>
    <row r="123" spans="1:14" x14ac:dyDescent="0.45">
      <c r="A123" s="2" t="s">
        <v>92</v>
      </c>
      <c r="B123" s="3">
        <v>45658</v>
      </c>
      <c r="C123" s="2" t="s">
        <v>63</v>
      </c>
      <c r="D123" s="2" t="s">
        <v>57</v>
      </c>
      <c r="E123" s="2">
        <v>61541.21</v>
      </c>
      <c r="F123" s="2">
        <v>10396</v>
      </c>
      <c r="G123" s="2">
        <v>0.123</v>
      </c>
      <c r="H123" s="2">
        <v>25</v>
      </c>
      <c r="I123" s="2">
        <v>88.1</v>
      </c>
      <c r="J123" s="2">
        <v>2.34</v>
      </c>
      <c r="K123" s="2">
        <v>1</v>
      </c>
      <c r="L123" s="2">
        <v>4.8</v>
      </c>
      <c r="M123" s="2">
        <v>914544.17</v>
      </c>
      <c r="N123" s="2">
        <v>79831.73</v>
      </c>
    </row>
    <row r="124" spans="1:14" x14ac:dyDescent="0.45">
      <c r="A124" s="2" t="s">
        <v>92</v>
      </c>
      <c r="B124" s="3">
        <v>45689</v>
      </c>
      <c r="C124" s="2" t="s">
        <v>63</v>
      </c>
      <c r="D124" s="2" t="s">
        <v>57</v>
      </c>
      <c r="E124" s="2">
        <v>44747</v>
      </c>
      <c r="F124" s="2">
        <v>11076</v>
      </c>
      <c r="G124" s="2">
        <v>0.17599999999999999</v>
      </c>
      <c r="H124" s="2">
        <v>27</v>
      </c>
      <c r="I124" s="2">
        <v>98.3</v>
      </c>
      <c r="J124" s="2">
        <v>0.54</v>
      </c>
      <c r="K124" s="2">
        <v>0</v>
      </c>
      <c r="L124" s="2">
        <v>4.4000000000000004</v>
      </c>
      <c r="M124" s="2">
        <v>842439.67</v>
      </c>
      <c r="N124" s="2">
        <v>169983.63</v>
      </c>
    </row>
    <row r="125" spans="1:14" x14ac:dyDescent="0.45">
      <c r="A125" s="2" t="s">
        <v>92</v>
      </c>
      <c r="B125" s="3">
        <v>45717</v>
      </c>
      <c r="C125" s="2" t="s">
        <v>63</v>
      </c>
      <c r="D125" s="2" t="s">
        <v>57</v>
      </c>
      <c r="E125" s="2">
        <v>56517.9</v>
      </c>
      <c r="F125" s="2">
        <v>9574</v>
      </c>
      <c r="G125" s="2">
        <v>0.20399999999999999</v>
      </c>
      <c r="H125" s="2">
        <v>20</v>
      </c>
      <c r="I125" s="2">
        <v>88.2</v>
      </c>
      <c r="J125" s="2">
        <v>5.37</v>
      </c>
      <c r="K125" s="2">
        <v>1</v>
      </c>
      <c r="L125" s="2">
        <v>4.9000000000000004</v>
      </c>
      <c r="M125" s="2">
        <v>842157.92</v>
      </c>
      <c r="N125" s="2">
        <v>107348.22</v>
      </c>
    </row>
    <row r="126" spans="1:14" x14ac:dyDescent="0.45">
      <c r="A126" s="2" t="s">
        <v>92</v>
      </c>
      <c r="B126" s="3">
        <v>45748</v>
      </c>
      <c r="C126" s="2" t="s">
        <v>63</v>
      </c>
      <c r="D126" s="2" t="s">
        <v>57</v>
      </c>
      <c r="E126" s="2">
        <v>37828.5</v>
      </c>
      <c r="F126" s="2">
        <v>8221</v>
      </c>
      <c r="G126" s="2">
        <v>9.6000000000000002E-2</v>
      </c>
      <c r="H126" s="2">
        <v>19</v>
      </c>
      <c r="I126" s="2">
        <v>81.5</v>
      </c>
      <c r="J126" s="2">
        <v>3.19</v>
      </c>
      <c r="K126" s="2">
        <v>0</v>
      </c>
      <c r="L126" s="2">
        <v>4.8</v>
      </c>
      <c r="M126" s="2">
        <v>697155.3</v>
      </c>
      <c r="N126" s="2">
        <v>136408.54</v>
      </c>
    </row>
    <row r="127" spans="1:14" x14ac:dyDescent="0.45">
      <c r="A127" s="2" t="s">
        <v>93</v>
      </c>
      <c r="B127" s="3">
        <v>45658</v>
      </c>
      <c r="C127" s="2" t="s">
        <v>54</v>
      </c>
      <c r="D127" s="2" t="s">
        <v>57</v>
      </c>
      <c r="E127" s="2">
        <v>66250.53</v>
      </c>
      <c r="F127" s="2">
        <v>10618</v>
      </c>
      <c r="G127" s="2">
        <v>0.14199999999999999</v>
      </c>
      <c r="H127" s="2">
        <v>27</v>
      </c>
      <c r="I127" s="2">
        <v>88.3</v>
      </c>
      <c r="J127" s="2">
        <v>1.1000000000000001</v>
      </c>
      <c r="K127" s="2">
        <v>1</v>
      </c>
      <c r="L127" s="2">
        <v>4.4000000000000004</v>
      </c>
      <c r="M127" s="2">
        <v>849018.3</v>
      </c>
      <c r="N127" s="2">
        <v>149035.13</v>
      </c>
    </row>
    <row r="128" spans="1:14" x14ac:dyDescent="0.45">
      <c r="A128" s="2" t="s">
        <v>93</v>
      </c>
      <c r="B128" s="3">
        <v>45689</v>
      </c>
      <c r="C128" s="2" t="s">
        <v>54</v>
      </c>
      <c r="D128" s="2" t="s">
        <v>57</v>
      </c>
      <c r="E128" s="2">
        <v>68410.929999999993</v>
      </c>
      <c r="F128" s="2">
        <v>10596</v>
      </c>
      <c r="G128" s="2">
        <v>0.20699999999999999</v>
      </c>
      <c r="H128" s="2">
        <v>25</v>
      </c>
      <c r="I128" s="2">
        <v>81.2</v>
      </c>
      <c r="J128" s="2">
        <v>0.21</v>
      </c>
      <c r="K128" s="2">
        <v>0</v>
      </c>
      <c r="L128" s="2">
        <v>4</v>
      </c>
      <c r="M128" s="2">
        <v>801830.35</v>
      </c>
      <c r="N128" s="2">
        <v>114875.32</v>
      </c>
    </row>
    <row r="129" spans="1:14" x14ac:dyDescent="0.45">
      <c r="A129" s="2" t="s">
        <v>93</v>
      </c>
      <c r="B129" s="3">
        <v>45717</v>
      </c>
      <c r="C129" s="2" t="s">
        <v>54</v>
      </c>
      <c r="D129" s="2" t="s">
        <v>57</v>
      </c>
      <c r="E129" s="2">
        <v>50735.63</v>
      </c>
      <c r="F129" s="2">
        <v>9619</v>
      </c>
      <c r="G129" s="2">
        <v>0.14399999999999999</v>
      </c>
      <c r="H129" s="2">
        <v>19</v>
      </c>
      <c r="I129" s="2">
        <v>93.8</v>
      </c>
      <c r="J129" s="2">
        <v>5.12</v>
      </c>
      <c r="K129" s="2">
        <v>1</v>
      </c>
      <c r="L129" s="2">
        <v>4.5</v>
      </c>
      <c r="M129" s="2">
        <v>725235.28</v>
      </c>
      <c r="N129" s="2">
        <v>121632.24</v>
      </c>
    </row>
    <row r="130" spans="1:14" x14ac:dyDescent="0.45">
      <c r="A130" s="2" t="s">
        <v>93</v>
      </c>
      <c r="B130" s="3">
        <v>45748</v>
      </c>
      <c r="C130" s="2" t="s">
        <v>54</v>
      </c>
      <c r="D130" s="2" t="s">
        <v>57</v>
      </c>
      <c r="E130" s="2">
        <v>66455.8</v>
      </c>
      <c r="F130" s="2">
        <v>10836</v>
      </c>
      <c r="G130" s="2">
        <v>8.8999999999999996E-2</v>
      </c>
      <c r="H130" s="2">
        <v>25</v>
      </c>
      <c r="I130" s="2">
        <v>85</v>
      </c>
      <c r="J130" s="2">
        <v>9.77</v>
      </c>
      <c r="K130" s="2">
        <v>0</v>
      </c>
      <c r="L130" s="2">
        <v>4.5</v>
      </c>
      <c r="M130" s="2">
        <v>811452.72</v>
      </c>
      <c r="N130" s="2">
        <v>131325.67000000001</v>
      </c>
    </row>
    <row r="131" spans="1:14" x14ac:dyDescent="0.45">
      <c r="A131" s="2" t="s">
        <v>94</v>
      </c>
      <c r="B131" s="3">
        <v>45658</v>
      </c>
      <c r="C131" s="2" t="s">
        <v>59</v>
      </c>
      <c r="D131" s="2" t="s">
        <v>57</v>
      </c>
      <c r="E131" s="2">
        <v>70276.28</v>
      </c>
      <c r="F131" s="2">
        <v>3043</v>
      </c>
      <c r="G131" s="2">
        <v>7.9000000000000001E-2</v>
      </c>
      <c r="H131" s="2">
        <v>9</v>
      </c>
      <c r="I131" s="2">
        <v>87.9</v>
      </c>
      <c r="J131" s="2">
        <v>3.77</v>
      </c>
      <c r="K131" s="2">
        <v>0</v>
      </c>
      <c r="L131" s="2">
        <v>4.4000000000000004</v>
      </c>
      <c r="M131" s="2">
        <v>527300.13</v>
      </c>
      <c r="N131" s="2">
        <v>84197.87</v>
      </c>
    </row>
    <row r="132" spans="1:14" x14ac:dyDescent="0.45">
      <c r="A132" s="2" t="s">
        <v>94</v>
      </c>
      <c r="B132" s="3">
        <v>45717</v>
      </c>
      <c r="C132" s="2" t="s">
        <v>59</v>
      </c>
      <c r="D132" s="2" t="s">
        <v>57</v>
      </c>
      <c r="E132" s="2">
        <v>52285.45</v>
      </c>
      <c r="F132" s="2">
        <v>3618</v>
      </c>
      <c r="G132" s="2">
        <v>8.5999999999999993E-2</v>
      </c>
      <c r="H132" s="2">
        <v>11</v>
      </c>
      <c r="I132" s="2">
        <v>95.6</v>
      </c>
      <c r="J132" s="2">
        <v>5.17</v>
      </c>
      <c r="K132" s="2">
        <v>1</v>
      </c>
      <c r="L132" s="2">
        <v>4.4000000000000004</v>
      </c>
      <c r="M132" s="2">
        <v>593247.25</v>
      </c>
      <c r="N132" s="2">
        <v>81240.289999999994</v>
      </c>
    </row>
    <row r="133" spans="1:14" x14ac:dyDescent="0.45">
      <c r="A133" s="2" t="s">
        <v>94</v>
      </c>
      <c r="B133" s="3">
        <v>45748</v>
      </c>
      <c r="C133" s="2" t="s">
        <v>59</v>
      </c>
      <c r="D133" s="2" t="s">
        <v>57</v>
      </c>
      <c r="E133" s="2">
        <v>70366.759999999995</v>
      </c>
      <c r="F133" s="2">
        <v>1963</v>
      </c>
      <c r="G133" s="2">
        <v>0.182</v>
      </c>
      <c r="H133" s="2">
        <v>8</v>
      </c>
      <c r="I133" s="2">
        <v>89.8</v>
      </c>
      <c r="J133" s="2">
        <v>3.2</v>
      </c>
      <c r="K133" s="2">
        <v>0</v>
      </c>
      <c r="L133" s="2">
        <v>4.5999999999999996</v>
      </c>
      <c r="M133" s="2">
        <v>529075.94999999995</v>
      </c>
      <c r="N133" s="2">
        <v>95978.83</v>
      </c>
    </row>
    <row r="134" spans="1:14" x14ac:dyDescent="0.45">
      <c r="A134" s="2" t="s">
        <v>95</v>
      </c>
      <c r="B134" s="3">
        <v>45689</v>
      </c>
      <c r="C134" s="2" t="s">
        <v>63</v>
      </c>
      <c r="D134" s="2" t="s">
        <v>55</v>
      </c>
      <c r="E134" s="2">
        <v>75109.67</v>
      </c>
      <c r="F134" s="2">
        <v>6244</v>
      </c>
      <c r="G134" s="2">
        <v>7.9000000000000001E-2</v>
      </c>
      <c r="H134" s="2">
        <v>15</v>
      </c>
      <c r="I134" s="2">
        <v>96.3</v>
      </c>
      <c r="J134" s="2">
        <v>7.38</v>
      </c>
      <c r="K134" s="2">
        <v>0</v>
      </c>
      <c r="L134" s="2">
        <v>3.7</v>
      </c>
      <c r="M134" s="2">
        <v>743348.84</v>
      </c>
      <c r="N134" s="2">
        <v>104186.09</v>
      </c>
    </row>
    <row r="135" spans="1:14" x14ac:dyDescent="0.45">
      <c r="A135" s="2" t="s">
        <v>95</v>
      </c>
      <c r="B135" s="3">
        <v>45717</v>
      </c>
      <c r="C135" s="2" t="s">
        <v>63</v>
      </c>
      <c r="D135" s="2" t="s">
        <v>55</v>
      </c>
      <c r="E135" s="2">
        <v>69779</v>
      </c>
      <c r="F135" s="2">
        <v>6544</v>
      </c>
      <c r="G135" s="2">
        <v>0.152</v>
      </c>
      <c r="H135" s="2">
        <v>18</v>
      </c>
      <c r="I135" s="2">
        <v>90.2</v>
      </c>
      <c r="J135" s="2">
        <v>0.85</v>
      </c>
      <c r="K135" s="2">
        <v>1</v>
      </c>
      <c r="L135" s="2">
        <v>3.3</v>
      </c>
      <c r="M135" s="2">
        <v>758827.64</v>
      </c>
      <c r="N135" s="2">
        <v>161439.48000000001</v>
      </c>
    </row>
    <row r="136" spans="1:14" x14ac:dyDescent="0.45">
      <c r="A136" s="2" t="s">
        <v>95</v>
      </c>
      <c r="B136" s="3">
        <v>45748</v>
      </c>
      <c r="C136" s="2" t="s">
        <v>63</v>
      </c>
      <c r="D136" s="2" t="s">
        <v>55</v>
      </c>
      <c r="E136" s="2">
        <v>44211.95</v>
      </c>
      <c r="F136" s="2">
        <v>5465</v>
      </c>
      <c r="G136" s="2">
        <v>0.187</v>
      </c>
      <c r="H136" s="2">
        <v>12</v>
      </c>
      <c r="I136" s="2">
        <v>90</v>
      </c>
      <c r="J136" s="2">
        <v>2.89</v>
      </c>
      <c r="K136" s="2">
        <v>0</v>
      </c>
      <c r="L136" s="2">
        <v>3.6</v>
      </c>
      <c r="M136" s="2">
        <v>646559.71</v>
      </c>
      <c r="N136" s="2">
        <v>97981.75</v>
      </c>
    </row>
    <row r="137" spans="1:14" x14ac:dyDescent="0.45">
      <c r="A137" s="2" t="s">
        <v>96</v>
      </c>
      <c r="B137" s="3">
        <v>45658</v>
      </c>
      <c r="C137" s="2" t="s">
        <v>66</v>
      </c>
      <c r="D137" s="2" t="s">
        <v>57</v>
      </c>
      <c r="E137" s="2">
        <v>51430.31</v>
      </c>
      <c r="F137" s="2">
        <v>6427</v>
      </c>
      <c r="G137" s="2">
        <v>0.23400000000000001</v>
      </c>
      <c r="H137" s="2">
        <v>14</v>
      </c>
      <c r="I137" s="2">
        <v>88.8</v>
      </c>
      <c r="J137" s="2">
        <v>0.77</v>
      </c>
      <c r="K137" s="2">
        <v>0</v>
      </c>
      <c r="L137" s="2">
        <v>4.0999999999999996</v>
      </c>
      <c r="M137" s="2">
        <v>715890.53</v>
      </c>
      <c r="N137" s="2">
        <v>109032.15</v>
      </c>
    </row>
    <row r="138" spans="1:14" x14ac:dyDescent="0.45">
      <c r="A138" s="2" t="s">
        <v>96</v>
      </c>
      <c r="B138" s="3">
        <v>45689</v>
      </c>
      <c r="C138" s="2" t="s">
        <v>66</v>
      </c>
      <c r="D138" s="2" t="s">
        <v>57</v>
      </c>
      <c r="E138" s="2">
        <v>45706.49</v>
      </c>
      <c r="F138" s="2">
        <v>6704</v>
      </c>
      <c r="G138" s="2">
        <v>3.7999999999999999E-2</v>
      </c>
      <c r="H138" s="2">
        <v>15</v>
      </c>
      <c r="I138" s="2">
        <v>94.2</v>
      </c>
      <c r="J138" s="2">
        <v>2.92</v>
      </c>
      <c r="K138" s="2">
        <v>0</v>
      </c>
      <c r="L138" s="2">
        <v>4.2</v>
      </c>
      <c r="M138" s="2">
        <v>715097.57</v>
      </c>
      <c r="N138" s="2">
        <v>151875.85999999999</v>
      </c>
    </row>
    <row r="139" spans="1:14" x14ac:dyDescent="0.45">
      <c r="A139" s="2" t="s">
        <v>96</v>
      </c>
      <c r="B139" s="3">
        <v>45717</v>
      </c>
      <c r="C139" s="2" t="s">
        <v>66</v>
      </c>
      <c r="D139" s="2" t="s">
        <v>57</v>
      </c>
      <c r="E139" s="2">
        <v>44034.6</v>
      </c>
      <c r="F139" s="2">
        <v>5645</v>
      </c>
      <c r="G139" s="2">
        <v>6.9000000000000006E-2</v>
      </c>
      <c r="H139" s="2">
        <v>18</v>
      </c>
      <c r="I139" s="2">
        <v>88.5</v>
      </c>
      <c r="J139" s="2">
        <v>3.07</v>
      </c>
      <c r="K139" s="2">
        <v>0</v>
      </c>
      <c r="L139" s="2">
        <v>3.8</v>
      </c>
      <c r="M139" s="2">
        <v>682639.28</v>
      </c>
      <c r="N139" s="2">
        <v>77557.53</v>
      </c>
    </row>
    <row r="140" spans="1:14" x14ac:dyDescent="0.45">
      <c r="A140" s="2" t="s">
        <v>96</v>
      </c>
      <c r="B140" s="3">
        <v>45748</v>
      </c>
      <c r="C140" s="2" t="s">
        <v>66</v>
      </c>
      <c r="D140" s="2" t="s">
        <v>57</v>
      </c>
      <c r="E140" s="2">
        <v>50198.12</v>
      </c>
      <c r="F140" s="2">
        <v>6089</v>
      </c>
      <c r="G140" s="2">
        <v>0.182</v>
      </c>
      <c r="H140" s="2">
        <v>19</v>
      </c>
      <c r="I140" s="2">
        <v>94</v>
      </c>
      <c r="J140" s="2">
        <v>9.6999999999999993</v>
      </c>
      <c r="K140" s="2">
        <v>0</v>
      </c>
      <c r="L140" s="2">
        <v>3.9</v>
      </c>
      <c r="M140" s="2">
        <v>695098.51</v>
      </c>
      <c r="N140" s="2">
        <v>108192.75</v>
      </c>
    </row>
    <row r="141" spans="1:14" x14ac:dyDescent="0.45">
      <c r="A141" s="2" t="s">
        <v>97</v>
      </c>
      <c r="B141" s="3">
        <v>45658</v>
      </c>
      <c r="C141" s="2" t="s">
        <v>59</v>
      </c>
      <c r="D141" s="2" t="s">
        <v>55</v>
      </c>
      <c r="E141" s="2">
        <v>70488.2</v>
      </c>
      <c r="F141" s="2">
        <v>4312</v>
      </c>
      <c r="G141" s="2">
        <v>0.16900000000000001</v>
      </c>
      <c r="H141" s="2">
        <v>12</v>
      </c>
      <c r="I141" s="2">
        <v>90.2</v>
      </c>
      <c r="J141" s="2">
        <v>3.71</v>
      </c>
      <c r="K141" s="2">
        <v>0</v>
      </c>
      <c r="L141" s="2">
        <v>3.2</v>
      </c>
      <c r="M141" s="2">
        <v>577732.56999999995</v>
      </c>
      <c r="N141" s="2">
        <v>93804.27</v>
      </c>
    </row>
    <row r="142" spans="1:14" x14ac:dyDescent="0.45">
      <c r="A142" s="2" t="s">
        <v>97</v>
      </c>
      <c r="B142" s="3">
        <v>45689</v>
      </c>
      <c r="C142" s="2" t="s">
        <v>59</v>
      </c>
      <c r="D142" s="2" t="s">
        <v>55</v>
      </c>
      <c r="E142" s="2">
        <v>50909.27</v>
      </c>
      <c r="F142" s="2">
        <v>3152</v>
      </c>
      <c r="G142" s="2">
        <v>0.06</v>
      </c>
      <c r="H142" s="2">
        <v>13</v>
      </c>
      <c r="I142" s="2">
        <v>93.7</v>
      </c>
      <c r="J142" s="2">
        <v>10.79</v>
      </c>
      <c r="K142" s="2">
        <v>0</v>
      </c>
      <c r="L142" s="2">
        <v>3.5</v>
      </c>
      <c r="M142" s="2">
        <v>537058.32999999996</v>
      </c>
      <c r="N142" s="2">
        <v>93555.71</v>
      </c>
    </row>
    <row r="143" spans="1:14" x14ac:dyDescent="0.45">
      <c r="A143" s="2" t="s">
        <v>97</v>
      </c>
      <c r="B143" s="3">
        <v>45717</v>
      </c>
      <c r="C143" s="2" t="s">
        <v>59</v>
      </c>
      <c r="D143" s="2" t="s">
        <v>55</v>
      </c>
      <c r="E143" s="2">
        <v>53351.7</v>
      </c>
      <c r="F143" s="2">
        <v>4259</v>
      </c>
      <c r="G143" s="2">
        <v>0.156</v>
      </c>
      <c r="H143" s="2">
        <v>15</v>
      </c>
      <c r="I143" s="2">
        <v>93.7</v>
      </c>
      <c r="J143" s="2">
        <v>6.03</v>
      </c>
      <c r="K143" s="2">
        <v>0</v>
      </c>
      <c r="L143" s="2">
        <v>3.4</v>
      </c>
      <c r="M143" s="2">
        <v>601568.87</v>
      </c>
      <c r="N143" s="2">
        <v>91634.82</v>
      </c>
    </row>
    <row r="144" spans="1:14" x14ac:dyDescent="0.45">
      <c r="A144" s="2" t="s">
        <v>97</v>
      </c>
      <c r="B144" s="3">
        <v>45748</v>
      </c>
      <c r="C144" s="2" t="s">
        <v>59</v>
      </c>
      <c r="D144" s="2" t="s">
        <v>55</v>
      </c>
      <c r="E144" s="2">
        <v>60322.400000000001</v>
      </c>
      <c r="F144" s="2">
        <v>3350</v>
      </c>
      <c r="G144" s="2">
        <v>0.108</v>
      </c>
      <c r="H144" s="2">
        <v>12</v>
      </c>
      <c r="I144" s="2">
        <v>89.4</v>
      </c>
      <c r="J144" s="2">
        <v>4.92</v>
      </c>
      <c r="K144" s="2">
        <v>0</v>
      </c>
      <c r="L144" s="2">
        <v>3.4</v>
      </c>
      <c r="M144" s="2">
        <v>570964.84</v>
      </c>
      <c r="N144" s="2">
        <v>81331.070000000007</v>
      </c>
    </row>
    <row r="145" spans="1:14" x14ac:dyDescent="0.45">
      <c r="A145" s="2" t="s">
        <v>98</v>
      </c>
      <c r="B145" s="3">
        <v>45658</v>
      </c>
      <c r="C145" s="2" t="s">
        <v>63</v>
      </c>
      <c r="D145" s="2" t="s">
        <v>67</v>
      </c>
      <c r="E145" s="2">
        <v>51575.68</v>
      </c>
      <c r="F145" s="2">
        <v>5329</v>
      </c>
      <c r="G145" s="2">
        <v>4.7E-2</v>
      </c>
      <c r="H145" s="2">
        <v>17</v>
      </c>
      <c r="I145" s="2">
        <v>88.1</v>
      </c>
      <c r="J145" s="2">
        <v>19.78</v>
      </c>
      <c r="K145" s="2">
        <v>0</v>
      </c>
      <c r="L145" s="2">
        <v>3.8</v>
      </c>
      <c r="M145" s="2">
        <v>614024.91</v>
      </c>
      <c r="N145" s="2">
        <v>84828.93</v>
      </c>
    </row>
    <row r="146" spans="1:14" x14ac:dyDescent="0.45">
      <c r="A146" s="2" t="s">
        <v>98</v>
      </c>
      <c r="B146" s="3">
        <v>45689</v>
      </c>
      <c r="C146" s="2" t="s">
        <v>63</v>
      </c>
      <c r="D146" s="2" t="s">
        <v>67</v>
      </c>
      <c r="E146" s="2">
        <v>43319.94</v>
      </c>
      <c r="F146" s="2">
        <v>6551</v>
      </c>
      <c r="G146" s="2">
        <v>4.3999999999999997E-2</v>
      </c>
      <c r="H146" s="2">
        <v>13</v>
      </c>
      <c r="I146" s="2">
        <v>99</v>
      </c>
      <c r="J146" s="2">
        <v>5.45</v>
      </c>
      <c r="K146" s="2">
        <v>0</v>
      </c>
      <c r="L146" s="2">
        <v>4.0999999999999996</v>
      </c>
      <c r="M146" s="2">
        <v>712868.35</v>
      </c>
      <c r="N146" s="2">
        <v>133650.51</v>
      </c>
    </row>
    <row r="147" spans="1:14" x14ac:dyDescent="0.45">
      <c r="A147" s="2" t="s">
        <v>98</v>
      </c>
      <c r="B147" s="3">
        <v>45717</v>
      </c>
      <c r="C147" s="2" t="s">
        <v>63</v>
      </c>
      <c r="D147" s="2" t="s">
        <v>67</v>
      </c>
      <c r="E147" s="2">
        <v>47093.55</v>
      </c>
      <c r="F147" s="2">
        <v>5550</v>
      </c>
      <c r="G147" s="2">
        <v>0.1</v>
      </c>
      <c r="H147" s="2">
        <v>12</v>
      </c>
      <c r="I147" s="2">
        <v>95</v>
      </c>
      <c r="J147" s="2">
        <v>2.33</v>
      </c>
      <c r="K147" s="2">
        <v>1</v>
      </c>
      <c r="L147" s="2">
        <v>3.7</v>
      </c>
      <c r="M147" s="2">
        <v>696744.15</v>
      </c>
      <c r="N147" s="2">
        <v>152230.09</v>
      </c>
    </row>
    <row r="148" spans="1:14" x14ac:dyDescent="0.45">
      <c r="A148" s="2" t="s">
        <v>98</v>
      </c>
      <c r="B148" s="3">
        <v>45748</v>
      </c>
      <c r="C148" s="2" t="s">
        <v>63</v>
      </c>
      <c r="D148" s="2" t="s">
        <v>67</v>
      </c>
      <c r="E148" s="2">
        <v>71855.09</v>
      </c>
      <c r="F148" s="2">
        <v>5911</v>
      </c>
      <c r="G148" s="2">
        <v>0.19700000000000001</v>
      </c>
      <c r="H148" s="2">
        <v>15</v>
      </c>
      <c r="I148" s="2">
        <v>94.3</v>
      </c>
      <c r="J148" s="2">
        <v>3.55</v>
      </c>
      <c r="K148" s="2">
        <v>0</v>
      </c>
      <c r="L148" s="2">
        <v>4.0999999999999996</v>
      </c>
      <c r="M148" s="2">
        <v>725847.99</v>
      </c>
      <c r="N148" s="2">
        <v>122698.73</v>
      </c>
    </row>
    <row r="149" spans="1:14" x14ac:dyDescent="0.45">
      <c r="A149" s="2" t="s">
        <v>99</v>
      </c>
      <c r="B149" s="3">
        <v>45658</v>
      </c>
      <c r="C149" s="2" t="s">
        <v>54</v>
      </c>
      <c r="D149" s="2" t="s">
        <v>57</v>
      </c>
      <c r="E149" s="2">
        <v>75645.23</v>
      </c>
      <c r="F149" s="2">
        <v>9674</v>
      </c>
      <c r="G149" s="2">
        <v>0.23400000000000001</v>
      </c>
      <c r="H149" s="2">
        <v>21</v>
      </c>
      <c r="I149" s="2">
        <v>87.4</v>
      </c>
      <c r="J149" s="2">
        <v>0.2</v>
      </c>
      <c r="K149" s="2">
        <v>0</v>
      </c>
      <c r="L149" s="2">
        <v>4.5</v>
      </c>
      <c r="M149" s="2">
        <v>785028.25</v>
      </c>
      <c r="N149" s="2">
        <v>110726.44</v>
      </c>
    </row>
    <row r="150" spans="1:14" x14ac:dyDescent="0.45">
      <c r="A150" s="2" t="s">
        <v>99</v>
      </c>
      <c r="B150" s="3">
        <v>45689</v>
      </c>
      <c r="C150" s="2" t="s">
        <v>54</v>
      </c>
      <c r="D150" s="2" t="s">
        <v>57</v>
      </c>
      <c r="E150" s="2">
        <v>64374.75</v>
      </c>
      <c r="F150" s="2">
        <v>6740</v>
      </c>
      <c r="G150" s="2">
        <v>0.16900000000000001</v>
      </c>
      <c r="H150" s="2">
        <v>18</v>
      </c>
      <c r="I150" s="2">
        <v>87</v>
      </c>
      <c r="J150" s="2">
        <v>2.09</v>
      </c>
      <c r="K150" s="2">
        <v>0</v>
      </c>
      <c r="L150" s="2">
        <v>4.2</v>
      </c>
      <c r="M150" s="2">
        <v>698492.67</v>
      </c>
      <c r="N150" s="2">
        <v>117319.32</v>
      </c>
    </row>
    <row r="151" spans="1:14" x14ac:dyDescent="0.45">
      <c r="A151" s="2" t="s">
        <v>99</v>
      </c>
      <c r="B151" s="3">
        <v>45717</v>
      </c>
      <c r="C151" s="2" t="s">
        <v>54</v>
      </c>
      <c r="D151" s="2" t="s">
        <v>57</v>
      </c>
      <c r="E151" s="2">
        <v>61433.84</v>
      </c>
      <c r="F151" s="2">
        <v>7745</v>
      </c>
      <c r="G151" s="2">
        <v>0.18</v>
      </c>
      <c r="H151" s="2">
        <v>16</v>
      </c>
      <c r="I151" s="2">
        <v>90.5</v>
      </c>
      <c r="J151" s="2">
        <v>2.2599999999999998</v>
      </c>
      <c r="K151" s="2">
        <v>0</v>
      </c>
      <c r="L151" s="2">
        <v>4.2</v>
      </c>
      <c r="M151" s="2">
        <v>685830.24</v>
      </c>
      <c r="N151" s="2">
        <v>128736.18</v>
      </c>
    </row>
    <row r="152" spans="1:14" x14ac:dyDescent="0.45">
      <c r="A152" s="2" t="s">
        <v>99</v>
      </c>
      <c r="B152" s="3">
        <v>45748</v>
      </c>
      <c r="C152" s="2" t="s">
        <v>54</v>
      </c>
      <c r="D152" s="2" t="s">
        <v>57</v>
      </c>
      <c r="E152" s="2">
        <v>42698.14</v>
      </c>
      <c r="F152" s="2">
        <v>7693</v>
      </c>
      <c r="G152" s="2">
        <v>0.187</v>
      </c>
      <c r="H152" s="2">
        <v>19</v>
      </c>
      <c r="I152" s="2">
        <v>90.1</v>
      </c>
      <c r="J152" s="2">
        <v>0.44</v>
      </c>
      <c r="K152" s="2">
        <v>0</v>
      </c>
      <c r="L152" s="2">
        <v>4.4000000000000004</v>
      </c>
      <c r="M152" s="2">
        <v>702318.94</v>
      </c>
      <c r="N152" s="2">
        <v>112829.29</v>
      </c>
    </row>
    <row r="153" spans="1:14" x14ac:dyDescent="0.45">
      <c r="A153" s="2" t="s">
        <v>100</v>
      </c>
      <c r="B153" s="3">
        <v>45658</v>
      </c>
      <c r="C153" s="2" t="s">
        <v>59</v>
      </c>
      <c r="D153" s="2" t="s">
        <v>67</v>
      </c>
      <c r="E153" s="2">
        <v>86883.31</v>
      </c>
      <c r="F153" s="2">
        <v>6424</v>
      </c>
      <c r="G153" s="2">
        <v>5.7000000000000002E-2</v>
      </c>
      <c r="H153" s="2">
        <v>19</v>
      </c>
      <c r="I153" s="2">
        <v>85.2</v>
      </c>
      <c r="J153" s="2">
        <v>3.08</v>
      </c>
      <c r="K153" s="2">
        <v>0</v>
      </c>
      <c r="L153" s="2">
        <v>3.9</v>
      </c>
      <c r="M153" s="2">
        <v>700078.32</v>
      </c>
      <c r="N153" s="2">
        <v>123707.58</v>
      </c>
    </row>
    <row r="154" spans="1:14" x14ac:dyDescent="0.45">
      <c r="A154" s="2" t="s">
        <v>100</v>
      </c>
      <c r="B154" s="3">
        <v>45689</v>
      </c>
      <c r="C154" s="2" t="s">
        <v>59</v>
      </c>
      <c r="D154" s="2" t="s">
        <v>67</v>
      </c>
      <c r="E154" s="2">
        <v>41863.08</v>
      </c>
      <c r="F154" s="2">
        <v>5400</v>
      </c>
      <c r="G154" s="2">
        <v>0.114</v>
      </c>
      <c r="H154" s="2">
        <v>11</v>
      </c>
      <c r="I154" s="2">
        <v>91.6</v>
      </c>
      <c r="J154" s="2">
        <v>7.99</v>
      </c>
      <c r="K154" s="2">
        <v>0</v>
      </c>
      <c r="L154" s="2">
        <v>3</v>
      </c>
      <c r="M154" s="2">
        <v>602002.31999999995</v>
      </c>
      <c r="N154" s="2">
        <v>110453.28</v>
      </c>
    </row>
    <row r="155" spans="1:14" x14ac:dyDescent="0.45">
      <c r="A155" s="2" t="s">
        <v>100</v>
      </c>
      <c r="B155" s="3">
        <v>45717</v>
      </c>
      <c r="C155" s="2" t="s">
        <v>59</v>
      </c>
      <c r="D155" s="2" t="s">
        <v>67</v>
      </c>
      <c r="E155" s="2">
        <v>56918.16</v>
      </c>
      <c r="F155" s="2">
        <v>7015</v>
      </c>
      <c r="G155" s="2">
        <v>0.158</v>
      </c>
      <c r="H155" s="2">
        <v>18</v>
      </c>
      <c r="I155" s="2">
        <v>74.2</v>
      </c>
      <c r="J155" s="2">
        <v>0.2</v>
      </c>
      <c r="K155" s="2">
        <v>0</v>
      </c>
      <c r="L155" s="2">
        <v>3.4</v>
      </c>
      <c r="M155" s="2">
        <v>724216.07</v>
      </c>
      <c r="N155" s="2">
        <v>100627.56</v>
      </c>
    </row>
    <row r="156" spans="1:14" x14ac:dyDescent="0.45">
      <c r="A156" s="2" t="s">
        <v>100</v>
      </c>
      <c r="B156" s="3">
        <v>45748</v>
      </c>
      <c r="C156" s="2" t="s">
        <v>59</v>
      </c>
      <c r="D156" s="2" t="s">
        <v>67</v>
      </c>
      <c r="E156" s="2">
        <v>23254.57</v>
      </c>
      <c r="F156" s="2">
        <v>3847</v>
      </c>
      <c r="G156" s="2">
        <v>0.159</v>
      </c>
      <c r="H156" s="2">
        <v>12</v>
      </c>
      <c r="I156" s="2">
        <v>93</v>
      </c>
      <c r="J156" s="2">
        <v>5.46</v>
      </c>
      <c r="K156" s="2">
        <v>0</v>
      </c>
      <c r="L156" s="2">
        <v>3.3</v>
      </c>
      <c r="M156" s="2">
        <v>620973.03</v>
      </c>
      <c r="N156" s="2">
        <v>72303.850000000006</v>
      </c>
    </row>
    <row r="157" spans="1:14" x14ac:dyDescent="0.45">
      <c r="A157" s="2" t="s">
        <v>101</v>
      </c>
      <c r="B157" s="3">
        <v>45658</v>
      </c>
      <c r="C157" s="2" t="s">
        <v>63</v>
      </c>
      <c r="D157" s="2" t="s">
        <v>57</v>
      </c>
      <c r="E157" s="2">
        <v>41443.410000000003</v>
      </c>
      <c r="F157" s="2">
        <v>7455</v>
      </c>
      <c r="G157" s="2">
        <v>0.17499999999999999</v>
      </c>
      <c r="H157" s="2">
        <v>16</v>
      </c>
      <c r="I157" s="2">
        <v>90.1</v>
      </c>
      <c r="J157" s="2">
        <v>4.05</v>
      </c>
      <c r="K157" s="2">
        <v>0</v>
      </c>
      <c r="L157" s="2">
        <v>4</v>
      </c>
      <c r="M157" s="2">
        <v>650480.06000000006</v>
      </c>
      <c r="N157" s="2">
        <v>109012.07</v>
      </c>
    </row>
    <row r="158" spans="1:14" x14ac:dyDescent="0.45">
      <c r="A158" s="2" t="s">
        <v>101</v>
      </c>
      <c r="B158" s="3">
        <v>45689</v>
      </c>
      <c r="C158" s="2" t="s">
        <v>63</v>
      </c>
      <c r="D158" s="2" t="s">
        <v>57</v>
      </c>
      <c r="E158" s="2">
        <v>48438.85</v>
      </c>
      <c r="F158" s="2">
        <v>6992</v>
      </c>
      <c r="G158" s="2">
        <v>3.4000000000000002E-2</v>
      </c>
      <c r="H158" s="2">
        <v>20</v>
      </c>
      <c r="I158" s="2">
        <v>91</v>
      </c>
      <c r="J158" s="2">
        <v>4.3600000000000003</v>
      </c>
      <c r="K158" s="2">
        <v>0</v>
      </c>
      <c r="L158" s="2">
        <v>4.2</v>
      </c>
      <c r="M158" s="2">
        <v>778298.88</v>
      </c>
      <c r="N158" s="2">
        <v>130076.72</v>
      </c>
    </row>
    <row r="159" spans="1:14" x14ac:dyDescent="0.45">
      <c r="A159" s="2" t="s">
        <v>101</v>
      </c>
      <c r="B159" s="3">
        <v>45748</v>
      </c>
      <c r="C159" s="2" t="s">
        <v>63</v>
      </c>
      <c r="D159" s="2" t="s">
        <v>57</v>
      </c>
      <c r="E159" s="2">
        <v>66870.62</v>
      </c>
      <c r="F159" s="2">
        <v>6055</v>
      </c>
      <c r="G159" s="2">
        <v>7.4999999999999997E-2</v>
      </c>
      <c r="H159" s="2">
        <v>19</v>
      </c>
      <c r="I159" s="2">
        <v>93.8</v>
      </c>
      <c r="J159" s="2">
        <v>0.54</v>
      </c>
      <c r="K159" s="2">
        <v>0</v>
      </c>
      <c r="L159" s="2">
        <v>4.3</v>
      </c>
      <c r="M159" s="2">
        <v>692008.64</v>
      </c>
      <c r="N159" s="2">
        <v>116337.87</v>
      </c>
    </row>
    <row r="160" spans="1:14" x14ac:dyDescent="0.45">
      <c r="A160" s="2" t="s">
        <v>102</v>
      </c>
      <c r="B160" s="3">
        <v>45658</v>
      </c>
      <c r="C160" s="2" t="s">
        <v>59</v>
      </c>
      <c r="D160" s="2" t="s">
        <v>67</v>
      </c>
      <c r="E160" s="2">
        <v>72150.53</v>
      </c>
      <c r="F160" s="2">
        <v>9323</v>
      </c>
      <c r="G160" s="2">
        <v>0.157</v>
      </c>
      <c r="H160" s="2">
        <v>22</v>
      </c>
      <c r="I160" s="2">
        <v>82.9</v>
      </c>
      <c r="J160" s="2">
        <v>11.37</v>
      </c>
      <c r="K160" s="2">
        <v>1</v>
      </c>
      <c r="L160" s="2">
        <v>4.3</v>
      </c>
      <c r="M160" s="2">
        <v>825797.91</v>
      </c>
      <c r="N160" s="2">
        <v>130945.24</v>
      </c>
    </row>
    <row r="161" spans="1:14" x14ac:dyDescent="0.45">
      <c r="A161" s="2" t="s">
        <v>102</v>
      </c>
      <c r="B161" s="3">
        <v>45689</v>
      </c>
      <c r="C161" s="2" t="s">
        <v>59</v>
      </c>
      <c r="D161" s="2" t="s">
        <v>67</v>
      </c>
      <c r="E161" s="2">
        <v>35303.300000000003</v>
      </c>
      <c r="F161" s="2">
        <v>8789</v>
      </c>
      <c r="G161" s="2">
        <v>0.123</v>
      </c>
      <c r="H161" s="2">
        <v>22</v>
      </c>
      <c r="I161" s="2">
        <v>86.1</v>
      </c>
      <c r="J161" s="2">
        <v>9.43</v>
      </c>
      <c r="K161" s="2">
        <v>0</v>
      </c>
      <c r="L161" s="2">
        <v>4.2</v>
      </c>
      <c r="M161" s="2">
        <v>706285.52</v>
      </c>
      <c r="N161" s="2">
        <v>138014.72</v>
      </c>
    </row>
    <row r="162" spans="1:14" x14ac:dyDescent="0.45">
      <c r="A162" s="2" t="s">
        <v>102</v>
      </c>
      <c r="B162" s="3">
        <v>45717</v>
      </c>
      <c r="C162" s="2" t="s">
        <v>59</v>
      </c>
      <c r="D162" s="2" t="s">
        <v>67</v>
      </c>
      <c r="E162" s="2">
        <v>30301.86</v>
      </c>
      <c r="F162" s="2">
        <v>6939</v>
      </c>
      <c r="G162" s="2">
        <v>0.09</v>
      </c>
      <c r="H162" s="2">
        <v>16</v>
      </c>
      <c r="I162" s="2">
        <v>90.3</v>
      </c>
      <c r="J162" s="2">
        <v>3.49</v>
      </c>
      <c r="K162" s="2">
        <v>0</v>
      </c>
      <c r="L162" s="2">
        <v>4</v>
      </c>
      <c r="M162" s="2">
        <v>665534.69999999995</v>
      </c>
      <c r="N162" s="2">
        <v>113167.73</v>
      </c>
    </row>
    <row r="163" spans="1:14" x14ac:dyDescent="0.45">
      <c r="A163" s="2" t="s">
        <v>102</v>
      </c>
      <c r="B163" s="3">
        <v>45748</v>
      </c>
      <c r="C163" s="2" t="s">
        <v>59</v>
      </c>
      <c r="D163" s="2" t="s">
        <v>67</v>
      </c>
      <c r="E163" s="2">
        <v>78432.14</v>
      </c>
      <c r="F163" s="2">
        <v>9440</v>
      </c>
      <c r="G163" s="2">
        <v>0.126</v>
      </c>
      <c r="H163" s="2">
        <v>23</v>
      </c>
      <c r="I163" s="2">
        <v>89.2</v>
      </c>
      <c r="J163" s="2">
        <v>7.86</v>
      </c>
      <c r="K163" s="2">
        <v>0</v>
      </c>
      <c r="L163" s="2">
        <v>4.0999999999999996</v>
      </c>
      <c r="M163" s="2">
        <v>820729.29</v>
      </c>
      <c r="N163" s="2">
        <v>159325.47</v>
      </c>
    </row>
    <row r="164" spans="1:14" x14ac:dyDescent="0.45">
      <c r="A164" s="2" t="s">
        <v>103</v>
      </c>
      <c r="B164" s="3">
        <v>45658</v>
      </c>
      <c r="C164" s="2" t="s">
        <v>54</v>
      </c>
      <c r="D164" s="2" t="s">
        <v>55</v>
      </c>
      <c r="E164" s="2">
        <v>62059.18</v>
      </c>
      <c r="F164" s="2">
        <v>9374</v>
      </c>
      <c r="G164" s="2">
        <v>0.13600000000000001</v>
      </c>
      <c r="H164" s="2">
        <v>25</v>
      </c>
      <c r="I164" s="2">
        <v>87.1</v>
      </c>
      <c r="J164" s="2">
        <v>12.55</v>
      </c>
      <c r="K164" s="2">
        <v>0</v>
      </c>
      <c r="L164" s="2">
        <v>4.9000000000000004</v>
      </c>
      <c r="M164" s="2">
        <v>739831.73</v>
      </c>
      <c r="N164" s="2">
        <v>119490.21</v>
      </c>
    </row>
    <row r="165" spans="1:14" x14ac:dyDescent="0.45">
      <c r="A165" s="2" t="s">
        <v>103</v>
      </c>
      <c r="B165" s="3">
        <v>45689</v>
      </c>
      <c r="C165" s="2" t="s">
        <v>54</v>
      </c>
      <c r="D165" s="2" t="s">
        <v>55</v>
      </c>
      <c r="E165" s="2">
        <v>32834.480000000003</v>
      </c>
      <c r="F165" s="2">
        <v>7576</v>
      </c>
      <c r="G165" s="2">
        <v>9.9000000000000005E-2</v>
      </c>
      <c r="H165" s="2">
        <v>15</v>
      </c>
      <c r="I165" s="2">
        <v>84.1</v>
      </c>
      <c r="J165" s="2">
        <v>3.48</v>
      </c>
      <c r="K165" s="2">
        <v>0</v>
      </c>
      <c r="L165" s="2">
        <v>5</v>
      </c>
      <c r="M165" s="2">
        <v>593637.14</v>
      </c>
      <c r="N165" s="2">
        <v>106648.14</v>
      </c>
    </row>
    <row r="166" spans="1:14" x14ac:dyDescent="0.45">
      <c r="A166" s="2" t="s">
        <v>103</v>
      </c>
      <c r="B166" s="3">
        <v>45717</v>
      </c>
      <c r="C166" s="2" t="s">
        <v>54</v>
      </c>
      <c r="D166" s="2" t="s">
        <v>55</v>
      </c>
      <c r="E166" s="2">
        <v>50825.08</v>
      </c>
      <c r="F166" s="2">
        <v>8949</v>
      </c>
      <c r="G166" s="2">
        <v>0.157</v>
      </c>
      <c r="H166" s="2">
        <v>21</v>
      </c>
      <c r="I166" s="2">
        <v>84.7</v>
      </c>
      <c r="J166" s="2">
        <v>7.73</v>
      </c>
      <c r="K166" s="2">
        <v>0</v>
      </c>
      <c r="L166" s="2">
        <v>4.9000000000000004</v>
      </c>
      <c r="M166" s="2">
        <v>769702.76</v>
      </c>
      <c r="N166" s="2">
        <v>158697</v>
      </c>
    </row>
    <row r="167" spans="1:14" x14ac:dyDescent="0.45">
      <c r="A167" s="2" t="s">
        <v>103</v>
      </c>
      <c r="B167" s="3">
        <v>45748</v>
      </c>
      <c r="C167" s="2" t="s">
        <v>54</v>
      </c>
      <c r="D167" s="2" t="s">
        <v>55</v>
      </c>
      <c r="E167" s="2">
        <v>36606.51</v>
      </c>
      <c r="F167" s="2">
        <v>7671</v>
      </c>
      <c r="G167" s="2">
        <v>0.11799999999999999</v>
      </c>
      <c r="H167" s="2">
        <v>18</v>
      </c>
      <c r="I167" s="2">
        <v>89.8</v>
      </c>
      <c r="J167" s="2">
        <v>0.25</v>
      </c>
      <c r="K167" s="2">
        <v>0</v>
      </c>
      <c r="L167" s="2">
        <v>4.4000000000000004</v>
      </c>
      <c r="M167" s="2">
        <v>679731.57</v>
      </c>
      <c r="N167" s="2">
        <v>121546.42</v>
      </c>
    </row>
    <row r="168" spans="1:14" x14ac:dyDescent="0.45">
      <c r="A168" s="2" t="s">
        <v>104</v>
      </c>
      <c r="B168" s="3">
        <v>45658</v>
      </c>
      <c r="C168" s="2" t="s">
        <v>54</v>
      </c>
      <c r="D168" s="2" t="s">
        <v>55</v>
      </c>
      <c r="E168" s="2">
        <v>65237.79</v>
      </c>
      <c r="F168" s="2">
        <v>8741</v>
      </c>
      <c r="G168" s="2">
        <v>0.157</v>
      </c>
      <c r="H168" s="2">
        <v>20</v>
      </c>
      <c r="I168" s="2">
        <v>94.4</v>
      </c>
      <c r="J168" s="2">
        <v>6.43</v>
      </c>
      <c r="K168" s="2">
        <v>0</v>
      </c>
      <c r="L168" s="2">
        <v>3.3</v>
      </c>
      <c r="M168" s="2">
        <v>780344.18</v>
      </c>
      <c r="N168" s="2">
        <v>118239.09</v>
      </c>
    </row>
    <row r="169" spans="1:14" x14ac:dyDescent="0.45">
      <c r="A169" s="2" t="s">
        <v>104</v>
      </c>
      <c r="B169" s="3">
        <v>45689</v>
      </c>
      <c r="C169" s="2" t="s">
        <v>54</v>
      </c>
      <c r="D169" s="2" t="s">
        <v>55</v>
      </c>
      <c r="E169" s="2">
        <v>43645.98</v>
      </c>
      <c r="F169" s="2">
        <v>9480</v>
      </c>
      <c r="G169" s="2">
        <v>0.109</v>
      </c>
      <c r="H169" s="2">
        <v>22</v>
      </c>
      <c r="I169" s="2">
        <v>89</v>
      </c>
      <c r="J169" s="2">
        <v>2.11</v>
      </c>
      <c r="K169" s="2">
        <v>0</v>
      </c>
      <c r="L169" s="2">
        <v>3.1</v>
      </c>
      <c r="M169" s="2">
        <v>721364.11</v>
      </c>
      <c r="N169" s="2">
        <v>147272.81</v>
      </c>
    </row>
    <row r="170" spans="1:14" x14ac:dyDescent="0.45">
      <c r="A170" s="2" t="s">
        <v>104</v>
      </c>
      <c r="B170" s="3">
        <v>45717</v>
      </c>
      <c r="C170" s="2" t="s">
        <v>54</v>
      </c>
      <c r="D170" s="2" t="s">
        <v>55</v>
      </c>
      <c r="E170" s="2">
        <v>68040.149999999994</v>
      </c>
      <c r="F170" s="2">
        <v>9826</v>
      </c>
      <c r="G170" s="2">
        <v>0.125</v>
      </c>
      <c r="H170" s="2">
        <v>20</v>
      </c>
      <c r="I170" s="2">
        <v>83.9</v>
      </c>
      <c r="J170" s="2">
        <v>9.1199999999999992</v>
      </c>
      <c r="K170" s="2">
        <v>0</v>
      </c>
      <c r="L170" s="2">
        <v>3.6</v>
      </c>
      <c r="M170" s="2">
        <v>758138.29</v>
      </c>
      <c r="N170" s="2">
        <v>132975.26</v>
      </c>
    </row>
    <row r="171" spans="1:14" x14ac:dyDescent="0.45">
      <c r="A171" s="2" t="s">
        <v>104</v>
      </c>
      <c r="B171" s="3">
        <v>45748</v>
      </c>
      <c r="C171" s="2" t="s">
        <v>54</v>
      </c>
      <c r="D171" s="2" t="s">
        <v>55</v>
      </c>
      <c r="E171" s="2">
        <v>63043.94</v>
      </c>
      <c r="F171" s="2">
        <v>10402</v>
      </c>
      <c r="G171" s="2">
        <v>0.159</v>
      </c>
      <c r="H171" s="2">
        <v>23</v>
      </c>
      <c r="I171" s="2">
        <v>93.9</v>
      </c>
      <c r="J171" s="2">
        <v>2.71</v>
      </c>
      <c r="K171" s="2">
        <v>0</v>
      </c>
      <c r="L171" s="2">
        <v>3.1</v>
      </c>
      <c r="M171" s="2">
        <v>804264</v>
      </c>
      <c r="N171" s="2">
        <v>167117.91</v>
      </c>
    </row>
    <row r="172" spans="1:14" x14ac:dyDescent="0.45">
      <c r="A172" s="2" t="s">
        <v>105</v>
      </c>
      <c r="B172" s="3">
        <v>45658</v>
      </c>
      <c r="C172" s="2" t="s">
        <v>66</v>
      </c>
      <c r="D172" s="2" t="s">
        <v>60</v>
      </c>
      <c r="E172" s="2">
        <v>67494.09</v>
      </c>
      <c r="F172" s="2">
        <v>12361</v>
      </c>
      <c r="G172" s="2">
        <v>4.5999999999999999E-2</v>
      </c>
      <c r="H172" s="2">
        <v>24</v>
      </c>
      <c r="I172" s="2">
        <v>76.599999999999994</v>
      </c>
      <c r="J172" s="2">
        <v>3.65</v>
      </c>
      <c r="K172" s="2">
        <v>1</v>
      </c>
      <c r="L172" s="2">
        <v>3.7</v>
      </c>
      <c r="M172" s="2">
        <v>887537.75</v>
      </c>
      <c r="N172" s="2">
        <v>160362.92000000001</v>
      </c>
    </row>
    <row r="173" spans="1:14" x14ac:dyDescent="0.45">
      <c r="A173" s="2" t="s">
        <v>105</v>
      </c>
      <c r="B173" s="3">
        <v>45689</v>
      </c>
      <c r="C173" s="2" t="s">
        <v>66</v>
      </c>
      <c r="D173" s="2" t="s">
        <v>60</v>
      </c>
      <c r="E173" s="2">
        <v>29389.32</v>
      </c>
      <c r="F173" s="2">
        <v>7925</v>
      </c>
      <c r="G173" s="2">
        <v>0.17699999999999999</v>
      </c>
      <c r="H173" s="2">
        <v>21</v>
      </c>
      <c r="I173" s="2">
        <v>90.9</v>
      </c>
      <c r="J173" s="2">
        <v>7.86</v>
      </c>
      <c r="K173" s="2">
        <v>0</v>
      </c>
      <c r="L173" s="2">
        <v>4</v>
      </c>
      <c r="M173" s="2">
        <v>783582</v>
      </c>
      <c r="N173" s="2">
        <v>130670.93</v>
      </c>
    </row>
    <row r="174" spans="1:14" x14ac:dyDescent="0.45">
      <c r="A174" s="2" t="s">
        <v>105</v>
      </c>
      <c r="B174" s="3">
        <v>45717</v>
      </c>
      <c r="C174" s="2" t="s">
        <v>66</v>
      </c>
      <c r="D174" s="2" t="s">
        <v>60</v>
      </c>
      <c r="E174" s="2">
        <v>40535.089999999997</v>
      </c>
      <c r="F174" s="2">
        <v>8870</v>
      </c>
      <c r="G174" s="2">
        <v>4.1000000000000002E-2</v>
      </c>
      <c r="H174" s="2">
        <v>21</v>
      </c>
      <c r="I174" s="2">
        <v>86.6</v>
      </c>
      <c r="J174" s="2">
        <v>0.3</v>
      </c>
      <c r="K174" s="2">
        <v>0</v>
      </c>
      <c r="L174" s="2">
        <v>4.0999999999999996</v>
      </c>
      <c r="M174" s="2">
        <v>781955.52</v>
      </c>
      <c r="N174" s="2">
        <v>152578.71</v>
      </c>
    </row>
    <row r="175" spans="1:14" x14ac:dyDescent="0.45">
      <c r="A175" s="2" t="s">
        <v>105</v>
      </c>
      <c r="B175" s="3">
        <v>45748</v>
      </c>
      <c r="C175" s="2" t="s">
        <v>66</v>
      </c>
      <c r="D175" s="2" t="s">
        <v>60</v>
      </c>
      <c r="E175" s="2">
        <v>74881.56</v>
      </c>
      <c r="F175" s="2">
        <v>9999</v>
      </c>
      <c r="G175" s="2">
        <v>1.2999999999999999E-2</v>
      </c>
      <c r="H175" s="2">
        <v>20</v>
      </c>
      <c r="I175" s="2">
        <v>89.6</v>
      </c>
      <c r="J175" s="2">
        <v>8.44</v>
      </c>
      <c r="K175" s="2">
        <v>0</v>
      </c>
      <c r="L175" s="2">
        <v>4.0999999999999996</v>
      </c>
      <c r="M175" s="2">
        <v>898031.04</v>
      </c>
      <c r="N175" s="2">
        <v>138666.5</v>
      </c>
    </row>
    <row r="176" spans="1:14" x14ac:dyDescent="0.45">
      <c r="A176" s="2" t="s">
        <v>106</v>
      </c>
      <c r="B176" s="3">
        <v>45658</v>
      </c>
      <c r="C176" s="2" t="s">
        <v>66</v>
      </c>
      <c r="D176" s="2" t="s">
        <v>55</v>
      </c>
      <c r="E176" s="2">
        <v>68491.11</v>
      </c>
      <c r="F176" s="2">
        <v>11154</v>
      </c>
      <c r="G176" s="2">
        <v>1E-3</v>
      </c>
      <c r="H176" s="2">
        <v>24</v>
      </c>
      <c r="I176" s="2">
        <v>89.4</v>
      </c>
      <c r="J176" s="2">
        <v>5.27</v>
      </c>
      <c r="K176" s="2">
        <v>1</v>
      </c>
      <c r="L176" s="2">
        <v>3.9</v>
      </c>
      <c r="M176" s="2">
        <v>855341.28</v>
      </c>
      <c r="N176" s="2">
        <v>175823.8</v>
      </c>
    </row>
    <row r="177" spans="1:14" x14ac:dyDescent="0.45">
      <c r="A177" s="2" t="s">
        <v>106</v>
      </c>
      <c r="B177" s="3">
        <v>45689</v>
      </c>
      <c r="C177" s="2" t="s">
        <v>66</v>
      </c>
      <c r="D177" s="2" t="s">
        <v>55</v>
      </c>
      <c r="E177" s="2">
        <v>45209.25</v>
      </c>
      <c r="F177" s="2">
        <v>9287</v>
      </c>
      <c r="G177" s="2">
        <v>0.14099999999999999</v>
      </c>
      <c r="H177" s="2">
        <v>22</v>
      </c>
      <c r="I177" s="2">
        <v>86.4</v>
      </c>
      <c r="J177" s="2">
        <v>13.22</v>
      </c>
      <c r="K177" s="2">
        <v>0</v>
      </c>
      <c r="L177" s="2">
        <v>3.6</v>
      </c>
      <c r="M177" s="2">
        <v>751393.88</v>
      </c>
      <c r="N177" s="2">
        <v>91480.320000000007</v>
      </c>
    </row>
    <row r="178" spans="1:14" x14ac:dyDescent="0.45">
      <c r="A178" s="2" t="s">
        <v>106</v>
      </c>
      <c r="B178" s="3">
        <v>45717</v>
      </c>
      <c r="C178" s="2" t="s">
        <v>66</v>
      </c>
      <c r="D178" s="2" t="s">
        <v>55</v>
      </c>
      <c r="E178" s="2">
        <v>63010.23</v>
      </c>
      <c r="F178" s="2">
        <v>9812</v>
      </c>
      <c r="G178" s="2">
        <v>0.113</v>
      </c>
      <c r="H178" s="2">
        <v>24</v>
      </c>
      <c r="I178" s="2">
        <v>76.8</v>
      </c>
      <c r="J178" s="2">
        <v>1.02</v>
      </c>
      <c r="K178" s="2">
        <v>1</v>
      </c>
      <c r="L178" s="2">
        <v>3.8</v>
      </c>
      <c r="M178" s="2">
        <v>761077.08</v>
      </c>
      <c r="N178" s="2">
        <v>113605.93</v>
      </c>
    </row>
    <row r="179" spans="1:14" x14ac:dyDescent="0.45">
      <c r="A179" s="2" t="s">
        <v>106</v>
      </c>
      <c r="B179" s="3">
        <v>45748</v>
      </c>
      <c r="C179" s="2" t="s">
        <v>66</v>
      </c>
      <c r="D179" s="2" t="s">
        <v>55</v>
      </c>
      <c r="E179" s="2">
        <v>57948.88</v>
      </c>
      <c r="F179" s="2">
        <v>10741</v>
      </c>
      <c r="G179" s="2">
        <v>7.0000000000000007E-2</v>
      </c>
      <c r="H179" s="2">
        <v>25</v>
      </c>
      <c r="I179" s="2">
        <v>90.1</v>
      </c>
      <c r="J179" s="2">
        <v>4.03</v>
      </c>
      <c r="K179" s="2">
        <v>0</v>
      </c>
      <c r="L179" s="2">
        <v>3.1</v>
      </c>
      <c r="M179" s="2">
        <v>819660.59</v>
      </c>
      <c r="N179" s="2">
        <v>172699.95</v>
      </c>
    </row>
    <row r="180" spans="1:14" x14ac:dyDescent="0.45">
      <c r="A180" s="2" t="s">
        <v>107</v>
      </c>
      <c r="B180" s="3">
        <v>45658</v>
      </c>
      <c r="C180" s="2" t="s">
        <v>59</v>
      </c>
      <c r="D180" s="2" t="s">
        <v>57</v>
      </c>
      <c r="E180" s="2">
        <v>71941.62</v>
      </c>
      <c r="F180" s="2">
        <v>6084</v>
      </c>
      <c r="G180" s="2">
        <v>7.1999999999999995E-2</v>
      </c>
      <c r="H180" s="2">
        <v>13</v>
      </c>
      <c r="I180" s="2">
        <v>93.7</v>
      </c>
      <c r="J180" s="2">
        <v>2.34</v>
      </c>
      <c r="K180" s="2">
        <v>0</v>
      </c>
      <c r="L180" s="2">
        <v>4.4000000000000004</v>
      </c>
      <c r="M180" s="2">
        <v>681855.56</v>
      </c>
      <c r="N180" s="2">
        <v>117645.61</v>
      </c>
    </row>
    <row r="181" spans="1:14" x14ac:dyDescent="0.45">
      <c r="A181" s="2" t="s">
        <v>107</v>
      </c>
      <c r="B181" s="3">
        <v>45689</v>
      </c>
      <c r="C181" s="2" t="s">
        <v>59</v>
      </c>
      <c r="D181" s="2" t="s">
        <v>57</v>
      </c>
      <c r="E181" s="2">
        <v>57147.88</v>
      </c>
      <c r="F181" s="2">
        <v>5252</v>
      </c>
      <c r="G181" s="2">
        <v>0.161</v>
      </c>
      <c r="H181" s="2">
        <v>15</v>
      </c>
      <c r="I181" s="2">
        <v>95.5</v>
      </c>
      <c r="J181" s="2">
        <v>8.51</v>
      </c>
      <c r="K181" s="2">
        <v>0</v>
      </c>
      <c r="L181" s="2">
        <v>4.4000000000000004</v>
      </c>
      <c r="M181" s="2">
        <v>678311.17</v>
      </c>
      <c r="N181" s="2">
        <v>132029.76000000001</v>
      </c>
    </row>
    <row r="182" spans="1:14" x14ac:dyDescent="0.45">
      <c r="A182" s="2" t="s">
        <v>107</v>
      </c>
      <c r="B182" s="3">
        <v>45717</v>
      </c>
      <c r="C182" s="2" t="s">
        <v>59</v>
      </c>
      <c r="D182" s="2" t="s">
        <v>57</v>
      </c>
      <c r="E182" s="2">
        <v>48031.74</v>
      </c>
      <c r="F182" s="2">
        <v>6516</v>
      </c>
      <c r="G182" s="2">
        <v>6.7000000000000004E-2</v>
      </c>
      <c r="H182" s="2">
        <v>14</v>
      </c>
      <c r="I182" s="2">
        <v>99</v>
      </c>
      <c r="J182" s="2">
        <v>0.48</v>
      </c>
      <c r="K182" s="2">
        <v>1</v>
      </c>
      <c r="L182" s="2">
        <v>4.3</v>
      </c>
      <c r="M182" s="2">
        <v>765906.95</v>
      </c>
      <c r="N182" s="2">
        <v>114005.9</v>
      </c>
    </row>
    <row r="183" spans="1:14" x14ac:dyDescent="0.45">
      <c r="A183" s="2" t="s">
        <v>107</v>
      </c>
      <c r="B183" s="3">
        <v>45748</v>
      </c>
      <c r="C183" s="2" t="s">
        <v>59</v>
      </c>
      <c r="D183" s="2" t="s">
        <v>57</v>
      </c>
      <c r="E183" s="2">
        <v>72784.800000000003</v>
      </c>
      <c r="F183" s="2">
        <v>7932</v>
      </c>
      <c r="G183" s="2">
        <v>9.4E-2</v>
      </c>
      <c r="H183" s="2">
        <v>20</v>
      </c>
      <c r="I183" s="2">
        <v>74.900000000000006</v>
      </c>
      <c r="J183" s="2">
        <v>13.62</v>
      </c>
      <c r="K183" s="2">
        <v>0</v>
      </c>
      <c r="L183" s="2">
        <v>4.2</v>
      </c>
      <c r="M183" s="2">
        <v>712546.38</v>
      </c>
      <c r="N183" s="2">
        <v>101480.04</v>
      </c>
    </row>
    <row r="184" spans="1:14" x14ac:dyDescent="0.45">
      <c r="A184" s="2" t="s">
        <v>108</v>
      </c>
      <c r="B184" s="3">
        <v>45658</v>
      </c>
      <c r="C184" s="2" t="s">
        <v>54</v>
      </c>
      <c r="D184" s="2" t="s">
        <v>57</v>
      </c>
      <c r="E184" s="2">
        <v>71641.899999999994</v>
      </c>
      <c r="F184" s="2">
        <v>3506</v>
      </c>
      <c r="G184" s="2">
        <v>0</v>
      </c>
      <c r="H184" s="2">
        <v>11</v>
      </c>
      <c r="I184" s="2">
        <v>86.4</v>
      </c>
      <c r="J184" s="2">
        <v>7.77</v>
      </c>
      <c r="K184" s="2">
        <v>0</v>
      </c>
      <c r="L184" s="2">
        <v>4.0999999999999996</v>
      </c>
      <c r="M184" s="2">
        <v>625993.82999999996</v>
      </c>
      <c r="N184" s="2">
        <v>98960.320000000007</v>
      </c>
    </row>
    <row r="185" spans="1:14" x14ac:dyDescent="0.45">
      <c r="A185" s="2" t="s">
        <v>108</v>
      </c>
      <c r="B185" s="3">
        <v>45689</v>
      </c>
      <c r="C185" s="2" t="s">
        <v>54</v>
      </c>
      <c r="D185" s="2" t="s">
        <v>57</v>
      </c>
      <c r="E185" s="2">
        <v>55788.61</v>
      </c>
      <c r="F185" s="2">
        <v>2312</v>
      </c>
      <c r="G185" s="2">
        <v>5.8000000000000003E-2</v>
      </c>
      <c r="H185" s="2">
        <v>10</v>
      </c>
      <c r="I185" s="2">
        <v>91.3</v>
      </c>
      <c r="J185" s="2">
        <v>1.99</v>
      </c>
      <c r="K185" s="2">
        <v>0</v>
      </c>
      <c r="L185" s="2">
        <v>3.8</v>
      </c>
      <c r="M185" s="2">
        <v>550962.93000000005</v>
      </c>
      <c r="N185" s="2">
        <v>97144.58</v>
      </c>
    </row>
    <row r="186" spans="1:14" x14ac:dyDescent="0.45">
      <c r="A186" s="2" t="s">
        <v>108</v>
      </c>
      <c r="B186" s="3">
        <v>45717</v>
      </c>
      <c r="C186" s="2" t="s">
        <v>54</v>
      </c>
      <c r="D186" s="2" t="s">
        <v>57</v>
      </c>
      <c r="E186" s="2">
        <v>37705.879999999997</v>
      </c>
      <c r="F186" s="2">
        <v>1268</v>
      </c>
      <c r="G186" s="2">
        <v>0.25900000000000001</v>
      </c>
      <c r="H186" s="2">
        <v>9</v>
      </c>
      <c r="I186" s="2">
        <v>84.1</v>
      </c>
      <c r="J186" s="2">
        <v>4.7699999999999996</v>
      </c>
      <c r="K186" s="2">
        <v>0</v>
      </c>
      <c r="L186" s="2">
        <v>3.8</v>
      </c>
      <c r="M186" s="2">
        <v>443275.59</v>
      </c>
      <c r="N186" s="2">
        <v>53544.36</v>
      </c>
    </row>
    <row r="187" spans="1:14" x14ac:dyDescent="0.45">
      <c r="A187" s="2" t="s">
        <v>108</v>
      </c>
      <c r="B187" s="3">
        <v>45748</v>
      </c>
      <c r="C187" s="2" t="s">
        <v>54</v>
      </c>
      <c r="D187" s="2" t="s">
        <v>57</v>
      </c>
      <c r="E187" s="2">
        <v>54966.18</v>
      </c>
      <c r="F187" s="2">
        <v>4423</v>
      </c>
      <c r="G187" s="2">
        <v>0.186</v>
      </c>
      <c r="H187" s="2">
        <v>13</v>
      </c>
      <c r="I187" s="2">
        <v>88.7</v>
      </c>
      <c r="J187" s="2">
        <v>0.2</v>
      </c>
      <c r="K187" s="2">
        <v>0</v>
      </c>
      <c r="L187" s="2">
        <v>4.4000000000000004</v>
      </c>
      <c r="M187" s="2">
        <v>554012.06999999995</v>
      </c>
      <c r="N187" s="2">
        <v>81101.62</v>
      </c>
    </row>
    <row r="188" spans="1:14" x14ac:dyDescent="0.45">
      <c r="A188" s="2" t="s">
        <v>109</v>
      </c>
      <c r="B188" s="3">
        <v>45658</v>
      </c>
      <c r="C188" s="2" t="s">
        <v>66</v>
      </c>
      <c r="D188" s="2" t="s">
        <v>55</v>
      </c>
      <c r="E188" s="2">
        <v>81796.740000000005</v>
      </c>
      <c r="F188" s="2">
        <v>6177</v>
      </c>
      <c r="G188" s="2">
        <v>0.16400000000000001</v>
      </c>
      <c r="H188" s="2">
        <v>14</v>
      </c>
      <c r="I188" s="2">
        <v>87.9</v>
      </c>
      <c r="J188" s="2">
        <v>0.53</v>
      </c>
      <c r="K188" s="2">
        <v>0</v>
      </c>
      <c r="L188" s="2">
        <v>3.2</v>
      </c>
      <c r="M188" s="2">
        <v>643428.85</v>
      </c>
      <c r="N188" s="2">
        <v>94477.63</v>
      </c>
    </row>
    <row r="189" spans="1:14" x14ac:dyDescent="0.45">
      <c r="A189" s="2" t="s">
        <v>109</v>
      </c>
      <c r="B189" s="3">
        <v>45689</v>
      </c>
      <c r="C189" s="2" t="s">
        <v>66</v>
      </c>
      <c r="D189" s="2" t="s">
        <v>55</v>
      </c>
      <c r="E189" s="2">
        <v>51133.43</v>
      </c>
      <c r="F189" s="2">
        <v>5150</v>
      </c>
      <c r="G189" s="2">
        <v>0.15</v>
      </c>
      <c r="H189" s="2">
        <v>12</v>
      </c>
      <c r="I189" s="2">
        <v>88.5</v>
      </c>
      <c r="J189" s="2">
        <v>1.54</v>
      </c>
      <c r="K189" s="2">
        <v>0</v>
      </c>
      <c r="L189" s="2">
        <v>3.2</v>
      </c>
      <c r="M189" s="2">
        <v>611924.27</v>
      </c>
      <c r="N189" s="2">
        <v>115488.75</v>
      </c>
    </row>
    <row r="190" spans="1:14" x14ac:dyDescent="0.45">
      <c r="A190" s="2" t="s">
        <v>109</v>
      </c>
      <c r="B190" s="3">
        <v>45717</v>
      </c>
      <c r="C190" s="2" t="s">
        <v>66</v>
      </c>
      <c r="D190" s="2" t="s">
        <v>55</v>
      </c>
      <c r="E190" s="2">
        <v>40220.18</v>
      </c>
      <c r="F190" s="2">
        <v>3783</v>
      </c>
      <c r="G190" s="2">
        <v>8.8999999999999996E-2</v>
      </c>
      <c r="H190" s="2">
        <v>14</v>
      </c>
      <c r="I190" s="2">
        <v>86.6</v>
      </c>
      <c r="J190" s="2">
        <v>3.63</v>
      </c>
      <c r="K190" s="2">
        <v>0</v>
      </c>
      <c r="L190" s="2">
        <v>3.7</v>
      </c>
      <c r="M190" s="2">
        <v>559422.02</v>
      </c>
      <c r="N190" s="2">
        <v>73528.740000000005</v>
      </c>
    </row>
    <row r="191" spans="1:14" x14ac:dyDescent="0.45">
      <c r="A191" s="2" t="s">
        <v>110</v>
      </c>
      <c r="B191" s="3">
        <v>45658</v>
      </c>
      <c r="C191" s="2" t="s">
        <v>59</v>
      </c>
      <c r="D191" s="2" t="s">
        <v>55</v>
      </c>
      <c r="E191" s="2">
        <v>71851.45</v>
      </c>
      <c r="F191" s="2">
        <v>4970</v>
      </c>
      <c r="G191" s="2">
        <v>9.8000000000000004E-2</v>
      </c>
      <c r="H191" s="2">
        <v>11</v>
      </c>
      <c r="I191" s="2">
        <v>89.6</v>
      </c>
      <c r="J191" s="2">
        <v>0.2</v>
      </c>
      <c r="K191" s="2">
        <v>0</v>
      </c>
      <c r="L191" s="2">
        <v>4.2</v>
      </c>
      <c r="M191" s="2">
        <v>691447.43</v>
      </c>
      <c r="N191" s="2">
        <v>114077.69</v>
      </c>
    </row>
    <row r="192" spans="1:14" x14ac:dyDescent="0.45">
      <c r="A192" s="2" t="s">
        <v>110</v>
      </c>
      <c r="B192" s="3">
        <v>45689</v>
      </c>
      <c r="C192" s="2" t="s">
        <v>59</v>
      </c>
      <c r="D192" s="2" t="s">
        <v>55</v>
      </c>
      <c r="E192" s="2">
        <v>54002.83</v>
      </c>
      <c r="F192" s="2">
        <v>4366</v>
      </c>
      <c r="G192" s="2">
        <v>2.7E-2</v>
      </c>
      <c r="H192" s="2">
        <v>15</v>
      </c>
      <c r="I192" s="2">
        <v>90.6</v>
      </c>
      <c r="J192" s="2">
        <v>12.82</v>
      </c>
      <c r="K192" s="2">
        <v>0</v>
      </c>
      <c r="L192" s="2">
        <v>4.5999999999999996</v>
      </c>
      <c r="M192" s="2">
        <v>574066.61</v>
      </c>
      <c r="N192" s="2">
        <v>124674.67</v>
      </c>
    </row>
    <row r="193" spans="1:14" x14ac:dyDescent="0.45">
      <c r="A193" s="2" t="s">
        <v>110</v>
      </c>
      <c r="B193" s="3">
        <v>45717</v>
      </c>
      <c r="C193" s="2" t="s">
        <v>59</v>
      </c>
      <c r="D193" s="2" t="s">
        <v>55</v>
      </c>
      <c r="E193" s="2">
        <v>54479.33</v>
      </c>
      <c r="F193" s="2">
        <v>5012</v>
      </c>
      <c r="G193" s="2">
        <v>0.28399999999999997</v>
      </c>
      <c r="H193" s="2">
        <v>13</v>
      </c>
      <c r="I193" s="2">
        <v>86</v>
      </c>
      <c r="J193" s="2">
        <v>2.2400000000000002</v>
      </c>
      <c r="K193" s="2">
        <v>1</v>
      </c>
      <c r="L193" s="2">
        <v>4.3</v>
      </c>
      <c r="M193" s="2">
        <v>578949.84</v>
      </c>
      <c r="N193" s="2">
        <v>80253.649999999994</v>
      </c>
    </row>
    <row r="194" spans="1:14" x14ac:dyDescent="0.45">
      <c r="A194" s="2" t="s">
        <v>110</v>
      </c>
      <c r="B194" s="3">
        <v>45748</v>
      </c>
      <c r="C194" s="2" t="s">
        <v>59</v>
      </c>
      <c r="D194" s="2" t="s">
        <v>55</v>
      </c>
      <c r="E194" s="2">
        <v>61391.8</v>
      </c>
      <c r="F194" s="2">
        <v>5575</v>
      </c>
      <c r="G194" s="2">
        <v>0.189</v>
      </c>
      <c r="H194" s="2">
        <v>18</v>
      </c>
      <c r="I194" s="2">
        <v>90</v>
      </c>
      <c r="J194" s="2">
        <v>1.8</v>
      </c>
      <c r="K194" s="2">
        <v>0</v>
      </c>
      <c r="L194" s="2">
        <v>4.8</v>
      </c>
      <c r="M194" s="2">
        <v>735786.64</v>
      </c>
      <c r="N194" s="2">
        <v>126540.66</v>
      </c>
    </row>
    <row r="195" spans="1:14" x14ac:dyDescent="0.45">
      <c r="A195" s="2" t="s">
        <v>111</v>
      </c>
      <c r="B195" s="3">
        <v>45658</v>
      </c>
      <c r="C195" s="2" t="s">
        <v>54</v>
      </c>
      <c r="D195" s="2" t="s">
        <v>60</v>
      </c>
      <c r="E195" s="2">
        <v>22312.93</v>
      </c>
      <c r="F195" s="2">
        <v>5955</v>
      </c>
      <c r="G195" s="2">
        <v>0.123</v>
      </c>
      <c r="H195" s="2">
        <v>13</v>
      </c>
      <c r="I195" s="2">
        <v>84.2</v>
      </c>
      <c r="J195" s="2">
        <v>0.41</v>
      </c>
      <c r="K195" s="2">
        <v>1</v>
      </c>
      <c r="L195" s="2">
        <v>4.5999999999999996</v>
      </c>
      <c r="M195" s="2">
        <v>598904.9</v>
      </c>
      <c r="N195" s="2">
        <v>72861</v>
      </c>
    </row>
    <row r="196" spans="1:14" x14ac:dyDescent="0.45">
      <c r="A196" s="2" t="s">
        <v>111</v>
      </c>
      <c r="B196" s="3">
        <v>45689</v>
      </c>
      <c r="C196" s="2" t="s">
        <v>54</v>
      </c>
      <c r="D196" s="2" t="s">
        <v>60</v>
      </c>
      <c r="E196" s="2">
        <v>78111.97</v>
      </c>
      <c r="F196" s="2">
        <v>6389</v>
      </c>
      <c r="G196" s="2">
        <v>0.15</v>
      </c>
      <c r="H196" s="2">
        <v>13</v>
      </c>
      <c r="I196" s="2">
        <v>83.9</v>
      </c>
      <c r="J196" s="2">
        <v>3.05</v>
      </c>
      <c r="K196" s="2">
        <v>0</v>
      </c>
      <c r="L196" s="2">
        <v>4.8</v>
      </c>
      <c r="M196" s="2">
        <v>787715.51</v>
      </c>
      <c r="N196" s="2">
        <v>128969.62</v>
      </c>
    </row>
    <row r="197" spans="1:14" x14ac:dyDescent="0.45">
      <c r="A197" s="2" t="s">
        <v>111</v>
      </c>
      <c r="B197" s="3">
        <v>45717</v>
      </c>
      <c r="C197" s="2" t="s">
        <v>54</v>
      </c>
      <c r="D197" s="2" t="s">
        <v>60</v>
      </c>
      <c r="E197" s="2">
        <v>35203.230000000003</v>
      </c>
      <c r="F197" s="2">
        <v>6896</v>
      </c>
      <c r="G197" s="2">
        <v>3.2000000000000001E-2</v>
      </c>
      <c r="H197" s="2">
        <v>14</v>
      </c>
      <c r="I197" s="2">
        <v>80.8</v>
      </c>
      <c r="J197" s="2">
        <v>8.44</v>
      </c>
      <c r="K197" s="2">
        <v>1</v>
      </c>
      <c r="L197" s="2">
        <v>5</v>
      </c>
      <c r="M197" s="2">
        <v>607084.92000000004</v>
      </c>
      <c r="N197" s="2">
        <v>98558.49</v>
      </c>
    </row>
    <row r="198" spans="1:14" x14ac:dyDescent="0.45">
      <c r="A198" s="2" t="s">
        <v>111</v>
      </c>
      <c r="B198" s="3">
        <v>45748</v>
      </c>
      <c r="C198" s="2" t="s">
        <v>54</v>
      </c>
      <c r="D198" s="2" t="s">
        <v>60</v>
      </c>
      <c r="E198" s="2">
        <v>64104.28</v>
      </c>
      <c r="F198" s="2">
        <v>6015</v>
      </c>
      <c r="G198" s="2">
        <v>0.127</v>
      </c>
      <c r="H198" s="2">
        <v>15</v>
      </c>
      <c r="I198" s="2">
        <v>88.7</v>
      </c>
      <c r="J198" s="2">
        <v>0.78</v>
      </c>
      <c r="K198" s="2">
        <v>0</v>
      </c>
      <c r="L198" s="2">
        <v>4</v>
      </c>
      <c r="M198" s="2">
        <v>650795.49</v>
      </c>
      <c r="N198" s="2">
        <v>103035.89</v>
      </c>
    </row>
    <row r="199" spans="1:14" x14ac:dyDescent="0.45">
      <c r="A199" s="2" t="s">
        <v>112</v>
      </c>
      <c r="B199" s="3">
        <v>45658</v>
      </c>
      <c r="C199" s="2" t="s">
        <v>54</v>
      </c>
      <c r="D199" s="2" t="s">
        <v>67</v>
      </c>
      <c r="E199" s="2">
        <v>92090.14</v>
      </c>
      <c r="F199" s="2">
        <v>9476</v>
      </c>
      <c r="G199" s="2">
        <v>7.0000000000000007E-2</v>
      </c>
      <c r="H199" s="2">
        <v>24</v>
      </c>
      <c r="I199" s="2">
        <v>94.3</v>
      </c>
      <c r="J199" s="2">
        <v>0.87</v>
      </c>
      <c r="K199" s="2">
        <v>0</v>
      </c>
      <c r="L199" s="2">
        <v>3.7</v>
      </c>
      <c r="M199" s="2">
        <v>825060.52</v>
      </c>
      <c r="N199" s="2">
        <v>143613.15</v>
      </c>
    </row>
    <row r="200" spans="1:14" x14ac:dyDescent="0.45">
      <c r="A200" s="2" t="s">
        <v>112</v>
      </c>
      <c r="B200" s="3">
        <v>45689</v>
      </c>
      <c r="C200" s="2" t="s">
        <v>54</v>
      </c>
      <c r="D200" s="2" t="s">
        <v>67</v>
      </c>
      <c r="E200" s="2">
        <v>54300.87</v>
      </c>
      <c r="F200" s="2">
        <v>7875</v>
      </c>
      <c r="G200" s="2">
        <v>0.107</v>
      </c>
      <c r="H200" s="2">
        <v>19</v>
      </c>
      <c r="I200" s="2">
        <v>94.1</v>
      </c>
      <c r="J200" s="2">
        <v>0.95</v>
      </c>
      <c r="K200" s="2">
        <v>0</v>
      </c>
      <c r="L200" s="2">
        <v>3.7</v>
      </c>
      <c r="M200" s="2">
        <v>795464.47</v>
      </c>
      <c r="N200" s="2">
        <v>161150.51999999999</v>
      </c>
    </row>
    <row r="201" spans="1:14" x14ac:dyDescent="0.45">
      <c r="A201" s="2" t="s">
        <v>112</v>
      </c>
      <c r="B201" s="3">
        <v>45717</v>
      </c>
      <c r="C201" s="2" t="s">
        <v>54</v>
      </c>
      <c r="D201" s="2" t="s">
        <v>67</v>
      </c>
      <c r="E201" s="2">
        <v>37983.35</v>
      </c>
      <c r="F201" s="2">
        <v>9283</v>
      </c>
      <c r="G201" s="2">
        <v>0.14899999999999999</v>
      </c>
      <c r="H201" s="2">
        <v>19</v>
      </c>
      <c r="I201" s="2">
        <v>83.2</v>
      </c>
      <c r="J201" s="2">
        <v>3.82</v>
      </c>
      <c r="K201" s="2">
        <v>0</v>
      </c>
      <c r="L201" s="2">
        <v>3.7</v>
      </c>
      <c r="M201" s="2">
        <v>671868.59</v>
      </c>
      <c r="N201" s="2">
        <v>71003.28</v>
      </c>
    </row>
    <row r="202" spans="1:14" x14ac:dyDescent="0.45">
      <c r="A202" s="2" t="s">
        <v>112</v>
      </c>
      <c r="B202" s="3">
        <v>45748</v>
      </c>
      <c r="C202" s="2" t="s">
        <v>54</v>
      </c>
      <c r="D202" s="2" t="s">
        <v>67</v>
      </c>
      <c r="E202" s="2">
        <v>56413.83</v>
      </c>
      <c r="F202" s="2">
        <v>8303</v>
      </c>
      <c r="G202" s="2">
        <v>0.11600000000000001</v>
      </c>
      <c r="H202" s="2">
        <v>18</v>
      </c>
      <c r="I202" s="2">
        <v>93.6</v>
      </c>
      <c r="J202" s="2">
        <v>2.7</v>
      </c>
      <c r="K202" s="2">
        <v>0</v>
      </c>
      <c r="L202" s="2">
        <v>3.7</v>
      </c>
      <c r="M202" s="2">
        <v>675917.63</v>
      </c>
      <c r="N202" s="2">
        <v>112564.75</v>
      </c>
    </row>
    <row r="203" spans="1:14" x14ac:dyDescent="0.45">
      <c r="A203" s="2" t="s">
        <v>113</v>
      </c>
      <c r="B203" s="3">
        <v>45658</v>
      </c>
      <c r="C203" s="2" t="s">
        <v>54</v>
      </c>
      <c r="D203" s="2" t="s">
        <v>57</v>
      </c>
      <c r="E203" s="2">
        <v>63457.19</v>
      </c>
      <c r="F203" s="2">
        <v>10125</v>
      </c>
      <c r="G203" s="2">
        <v>9.7000000000000003E-2</v>
      </c>
      <c r="H203" s="2">
        <v>24</v>
      </c>
      <c r="I203" s="2">
        <v>87</v>
      </c>
      <c r="J203" s="2">
        <v>3.84</v>
      </c>
      <c r="K203" s="2">
        <v>1</v>
      </c>
      <c r="L203" s="2">
        <v>3.7</v>
      </c>
      <c r="M203" s="2">
        <v>810446.53</v>
      </c>
      <c r="N203" s="2">
        <v>200575.34</v>
      </c>
    </row>
    <row r="204" spans="1:14" x14ac:dyDescent="0.45">
      <c r="A204" s="2" t="s">
        <v>113</v>
      </c>
      <c r="B204" s="3">
        <v>45689</v>
      </c>
      <c r="C204" s="2" t="s">
        <v>54</v>
      </c>
      <c r="D204" s="2" t="s">
        <v>57</v>
      </c>
      <c r="E204" s="2">
        <v>62949.7</v>
      </c>
      <c r="F204" s="2">
        <v>9458</v>
      </c>
      <c r="G204" s="2">
        <v>0.17100000000000001</v>
      </c>
      <c r="H204" s="2">
        <v>19</v>
      </c>
      <c r="I204" s="2">
        <v>84.9</v>
      </c>
      <c r="J204" s="2">
        <v>5.09</v>
      </c>
      <c r="K204" s="2">
        <v>0</v>
      </c>
      <c r="L204" s="2">
        <v>3.3</v>
      </c>
      <c r="M204" s="2">
        <v>691288.19</v>
      </c>
      <c r="N204" s="2">
        <v>159074.14000000001</v>
      </c>
    </row>
    <row r="205" spans="1:14" x14ac:dyDescent="0.45">
      <c r="A205" s="2" t="s">
        <v>113</v>
      </c>
      <c r="B205" s="3">
        <v>45717</v>
      </c>
      <c r="C205" s="2" t="s">
        <v>54</v>
      </c>
      <c r="D205" s="2" t="s">
        <v>57</v>
      </c>
      <c r="E205" s="2">
        <v>107970.19</v>
      </c>
      <c r="F205" s="2">
        <v>12870</v>
      </c>
      <c r="G205" s="2">
        <v>2.9000000000000001E-2</v>
      </c>
      <c r="H205" s="2">
        <v>31</v>
      </c>
      <c r="I205" s="2">
        <v>91.7</v>
      </c>
      <c r="J205" s="2">
        <v>3.82</v>
      </c>
      <c r="K205" s="2">
        <v>1</v>
      </c>
      <c r="L205" s="2">
        <v>3.7</v>
      </c>
      <c r="M205" s="2">
        <v>946833.54</v>
      </c>
      <c r="N205" s="2">
        <v>184540.31</v>
      </c>
    </row>
    <row r="206" spans="1:14" x14ac:dyDescent="0.45">
      <c r="A206" s="2" t="s">
        <v>113</v>
      </c>
      <c r="B206" s="3">
        <v>45748</v>
      </c>
      <c r="C206" s="2" t="s">
        <v>54</v>
      </c>
      <c r="D206" s="2" t="s">
        <v>57</v>
      </c>
      <c r="E206" s="2">
        <v>49405.75</v>
      </c>
      <c r="F206" s="2">
        <v>9752</v>
      </c>
      <c r="G206" s="2">
        <v>9.2999999999999999E-2</v>
      </c>
      <c r="H206" s="2">
        <v>21</v>
      </c>
      <c r="I206" s="2">
        <v>87</v>
      </c>
      <c r="J206" s="2">
        <v>12.28</v>
      </c>
      <c r="K206" s="2">
        <v>0</v>
      </c>
      <c r="L206" s="2">
        <v>4.0999999999999996</v>
      </c>
      <c r="M206" s="2">
        <v>761963.23</v>
      </c>
      <c r="N206" s="2">
        <v>150113.60999999999</v>
      </c>
    </row>
    <row r="207" spans="1:14" x14ac:dyDescent="0.45">
      <c r="A207" s="2" t="s">
        <v>114</v>
      </c>
      <c r="B207" s="3">
        <v>45658</v>
      </c>
      <c r="C207" s="2" t="s">
        <v>66</v>
      </c>
      <c r="D207" s="2" t="s">
        <v>55</v>
      </c>
      <c r="E207" s="2">
        <v>50887.46</v>
      </c>
      <c r="F207" s="2">
        <v>9505</v>
      </c>
      <c r="G207" s="2">
        <v>9.0999999999999998E-2</v>
      </c>
      <c r="H207" s="2">
        <v>25</v>
      </c>
      <c r="I207" s="2">
        <v>89.7</v>
      </c>
      <c r="J207" s="2">
        <v>2.8</v>
      </c>
      <c r="K207" s="2">
        <v>0</v>
      </c>
      <c r="L207" s="2">
        <v>4.3</v>
      </c>
      <c r="M207" s="2">
        <v>812152.6</v>
      </c>
      <c r="N207" s="2">
        <v>138419.43</v>
      </c>
    </row>
    <row r="208" spans="1:14" x14ac:dyDescent="0.45">
      <c r="A208" s="2" t="s">
        <v>114</v>
      </c>
      <c r="B208" s="3">
        <v>45689</v>
      </c>
      <c r="C208" s="2" t="s">
        <v>66</v>
      </c>
      <c r="D208" s="2" t="s">
        <v>55</v>
      </c>
      <c r="E208" s="2">
        <v>41819.449999999997</v>
      </c>
      <c r="F208" s="2">
        <v>9412</v>
      </c>
      <c r="G208" s="2">
        <v>0.15</v>
      </c>
      <c r="H208" s="2">
        <v>22</v>
      </c>
      <c r="I208" s="2">
        <v>91</v>
      </c>
      <c r="J208" s="2">
        <v>3.67</v>
      </c>
      <c r="K208" s="2">
        <v>0</v>
      </c>
      <c r="L208" s="2">
        <v>4.2</v>
      </c>
      <c r="M208" s="2">
        <v>804975.5</v>
      </c>
      <c r="N208" s="2">
        <v>140054.5</v>
      </c>
    </row>
    <row r="209" spans="1:14" x14ac:dyDescent="0.45">
      <c r="A209" s="2" t="s">
        <v>114</v>
      </c>
      <c r="B209" s="3">
        <v>45717</v>
      </c>
      <c r="C209" s="2" t="s">
        <v>66</v>
      </c>
      <c r="D209" s="2" t="s">
        <v>55</v>
      </c>
      <c r="E209" s="2">
        <v>35296.54</v>
      </c>
      <c r="F209" s="2">
        <v>9644</v>
      </c>
      <c r="G209" s="2">
        <v>0</v>
      </c>
      <c r="H209" s="2">
        <v>22</v>
      </c>
      <c r="I209" s="2">
        <v>88</v>
      </c>
      <c r="J209" s="2">
        <v>2.81</v>
      </c>
      <c r="K209" s="2">
        <v>0</v>
      </c>
      <c r="L209" s="2">
        <v>4.7</v>
      </c>
      <c r="M209" s="2">
        <v>752321.72</v>
      </c>
      <c r="N209" s="2">
        <v>137788.51</v>
      </c>
    </row>
    <row r="210" spans="1:14" x14ac:dyDescent="0.45">
      <c r="A210" s="2" t="s">
        <v>114</v>
      </c>
      <c r="B210" s="3">
        <v>45748</v>
      </c>
      <c r="C210" s="2" t="s">
        <v>66</v>
      </c>
      <c r="D210" s="2" t="s">
        <v>55</v>
      </c>
      <c r="E210" s="2">
        <v>47391.09</v>
      </c>
      <c r="F210" s="2">
        <v>11224</v>
      </c>
      <c r="G210" s="2">
        <v>0.14699999999999999</v>
      </c>
      <c r="H210" s="2">
        <v>25</v>
      </c>
      <c r="I210" s="2">
        <v>88.4</v>
      </c>
      <c r="J210" s="2">
        <v>2.44</v>
      </c>
      <c r="K210" s="2">
        <v>0</v>
      </c>
      <c r="L210" s="2">
        <v>4.9000000000000004</v>
      </c>
      <c r="M210" s="2">
        <v>836908.24</v>
      </c>
      <c r="N210" s="2">
        <v>141090.26</v>
      </c>
    </row>
    <row r="211" spans="1:14" x14ac:dyDescent="0.45">
      <c r="A211" s="2" t="s">
        <v>115</v>
      </c>
      <c r="B211" s="3">
        <v>45658</v>
      </c>
      <c r="C211" s="2" t="s">
        <v>59</v>
      </c>
      <c r="D211" s="2" t="s">
        <v>60</v>
      </c>
      <c r="E211" s="2">
        <v>69180.539999999994</v>
      </c>
      <c r="F211" s="2">
        <v>5394</v>
      </c>
      <c r="G211" s="2">
        <v>0.126</v>
      </c>
      <c r="H211" s="2">
        <v>12</v>
      </c>
      <c r="I211" s="2">
        <v>82.9</v>
      </c>
      <c r="J211" s="2">
        <v>3.27</v>
      </c>
      <c r="K211" s="2">
        <v>0</v>
      </c>
      <c r="L211" s="2">
        <v>3.3</v>
      </c>
      <c r="M211" s="2">
        <v>674289.1</v>
      </c>
      <c r="N211" s="2">
        <v>117773.79</v>
      </c>
    </row>
    <row r="212" spans="1:14" x14ac:dyDescent="0.45">
      <c r="A212" s="2" t="s">
        <v>115</v>
      </c>
      <c r="B212" s="3">
        <v>45689</v>
      </c>
      <c r="C212" s="2" t="s">
        <v>59</v>
      </c>
      <c r="D212" s="2" t="s">
        <v>60</v>
      </c>
      <c r="E212" s="2">
        <v>33987.33</v>
      </c>
      <c r="F212" s="2">
        <v>5014</v>
      </c>
      <c r="G212" s="2">
        <v>0.246</v>
      </c>
      <c r="H212" s="2">
        <v>17</v>
      </c>
      <c r="I212" s="2">
        <v>94.3</v>
      </c>
      <c r="J212" s="2">
        <v>10.34</v>
      </c>
      <c r="K212" s="2">
        <v>0</v>
      </c>
      <c r="L212" s="2">
        <v>3.9</v>
      </c>
      <c r="M212" s="2">
        <v>622892.42000000004</v>
      </c>
      <c r="N212" s="2">
        <v>101032.52</v>
      </c>
    </row>
    <row r="213" spans="1:14" x14ac:dyDescent="0.45">
      <c r="A213" s="2" t="s">
        <v>115</v>
      </c>
      <c r="B213" s="3">
        <v>45717</v>
      </c>
      <c r="C213" s="2" t="s">
        <v>59</v>
      </c>
      <c r="D213" s="2" t="s">
        <v>60</v>
      </c>
      <c r="E213" s="2">
        <v>58785.33</v>
      </c>
      <c r="F213" s="2">
        <v>4467</v>
      </c>
      <c r="G213" s="2">
        <v>0.22900000000000001</v>
      </c>
      <c r="H213" s="2">
        <v>14</v>
      </c>
      <c r="I213" s="2">
        <v>90.7</v>
      </c>
      <c r="J213" s="2">
        <v>1.92</v>
      </c>
      <c r="K213" s="2">
        <v>0</v>
      </c>
      <c r="L213" s="2">
        <v>3.7</v>
      </c>
      <c r="M213" s="2">
        <v>673348.56</v>
      </c>
      <c r="N213" s="2">
        <v>69464.59</v>
      </c>
    </row>
    <row r="214" spans="1:14" x14ac:dyDescent="0.45">
      <c r="A214" s="2" t="s">
        <v>115</v>
      </c>
      <c r="B214" s="3">
        <v>45748</v>
      </c>
      <c r="C214" s="2" t="s">
        <v>59</v>
      </c>
      <c r="D214" s="2" t="s">
        <v>60</v>
      </c>
      <c r="E214" s="2">
        <v>16451.849999999999</v>
      </c>
      <c r="F214" s="2">
        <v>4678</v>
      </c>
      <c r="G214" s="2">
        <v>0.13300000000000001</v>
      </c>
      <c r="H214" s="2">
        <v>11</v>
      </c>
      <c r="I214" s="2">
        <v>95.9</v>
      </c>
      <c r="J214" s="2">
        <v>3.1</v>
      </c>
      <c r="K214" s="2">
        <v>0</v>
      </c>
      <c r="L214" s="2">
        <v>3.9</v>
      </c>
      <c r="M214" s="2">
        <v>606278.30000000005</v>
      </c>
      <c r="N214" s="2">
        <v>102213.26</v>
      </c>
    </row>
    <row r="215" spans="1:14" x14ac:dyDescent="0.45">
      <c r="A215" s="2" t="s">
        <v>116</v>
      </c>
      <c r="B215" s="3">
        <v>45658</v>
      </c>
      <c r="C215" s="2" t="s">
        <v>54</v>
      </c>
      <c r="D215" s="2" t="s">
        <v>57</v>
      </c>
      <c r="E215" s="2">
        <v>53367.73</v>
      </c>
      <c r="F215" s="2">
        <v>7291</v>
      </c>
      <c r="G215" s="2">
        <v>0.14599999999999999</v>
      </c>
      <c r="H215" s="2">
        <v>18</v>
      </c>
      <c r="I215" s="2">
        <v>90.6</v>
      </c>
      <c r="J215" s="2">
        <v>6.34</v>
      </c>
      <c r="K215" s="2">
        <v>1</v>
      </c>
      <c r="L215" s="2">
        <v>3.8</v>
      </c>
      <c r="M215" s="2">
        <v>712219.81</v>
      </c>
      <c r="N215" s="2">
        <v>85906.54</v>
      </c>
    </row>
    <row r="216" spans="1:14" x14ac:dyDescent="0.45">
      <c r="A216" s="2" t="s">
        <v>116</v>
      </c>
      <c r="B216" s="3">
        <v>45689</v>
      </c>
      <c r="C216" s="2" t="s">
        <v>54</v>
      </c>
      <c r="D216" s="2" t="s">
        <v>57</v>
      </c>
      <c r="E216" s="2">
        <v>27194.639999999999</v>
      </c>
      <c r="F216" s="2">
        <v>7404</v>
      </c>
      <c r="G216" s="2">
        <v>8.7999999999999995E-2</v>
      </c>
      <c r="H216" s="2">
        <v>18</v>
      </c>
      <c r="I216" s="2">
        <v>90.2</v>
      </c>
      <c r="J216" s="2">
        <v>1.2</v>
      </c>
      <c r="K216" s="2">
        <v>0</v>
      </c>
      <c r="L216" s="2">
        <v>3.4</v>
      </c>
      <c r="M216" s="2">
        <v>672670.54</v>
      </c>
      <c r="N216" s="2">
        <v>132684.18</v>
      </c>
    </row>
    <row r="217" spans="1:14" x14ac:dyDescent="0.45">
      <c r="A217" s="2" t="s">
        <v>116</v>
      </c>
      <c r="B217" s="3">
        <v>45717</v>
      </c>
      <c r="C217" s="2" t="s">
        <v>54</v>
      </c>
      <c r="D217" s="2" t="s">
        <v>57</v>
      </c>
      <c r="E217" s="2">
        <v>66962.740000000005</v>
      </c>
      <c r="F217" s="2">
        <v>7880</v>
      </c>
      <c r="G217" s="2">
        <v>0.11600000000000001</v>
      </c>
      <c r="H217" s="2">
        <v>19</v>
      </c>
      <c r="I217" s="2">
        <v>90.4</v>
      </c>
      <c r="J217" s="2">
        <v>4.5</v>
      </c>
      <c r="K217" s="2">
        <v>0</v>
      </c>
      <c r="L217" s="2">
        <v>3.3</v>
      </c>
      <c r="M217" s="2">
        <v>732667.92</v>
      </c>
      <c r="N217" s="2">
        <v>128654.46</v>
      </c>
    </row>
    <row r="218" spans="1:14" x14ac:dyDescent="0.45">
      <c r="A218" s="2" t="s">
        <v>116</v>
      </c>
      <c r="B218" s="3">
        <v>45748</v>
      </c>
      <c r="C218" s="2" t="s">
        <v>54</v>
      </c>
      <c r="D218" s="2" t="s">
        <v>57</v>
      </c>
      <c r="E218" s="2">
        <v>73540.990000000005</v>
      </c>
      <c r="F218" s="2">
        <v>8773</v>
      </c>
      <c r="G218" s="2">
        <v>3.5000000000000003E-2</v>
      </c>
      <c r="H218" s="2">
        <v>21</v>
      </c>
      <c r="I218" s="2">
        <v>84.4</v>
      </c>
      <c r="J218" s="2">
        <v>6.68</v>
      </c>
      <c r="K218" s="2">
        <v>0</v>
      </c>
      <c r="L218" s="2">
        <v>3.6</v>
      </c>
      <c r="M218" s="2">
        <v>723531.4</v>
      </c>
      <c r="N218" s="2">
        <v>108794.85</v>
      </c>
    </row>
    <row r="219" spans="1:14" x14ac:dyDescent="0.45">
      <c r="A219" s="2" t="s">
        <v>117</v>
      </c>
      <c r="B219" s="3">
        <v>45658</v>
      </c>
      <c r="C219" s="2" t="s">
        <v>54</v>
      </c>
      <c r="D219" s="2" t="s">
        <v>67</v>
      </c>
      <c r="E219" s="2">
        <v>68212.289999999994</v>
      </c>
      <c r="F219" s="2">
        <v>4713</v>
      </c>
      <c r="G219" s="2">
        <v>0.19800000000000001</v>
      </c>
      <c r="H219" s="2">
        <v>15</v>
      </c>
      <c r="I219" s="2">
        <v>82.6</v>
      </c>
      <c r="J219" s="2">
        <v>4.07</v>
      </c>
      <c r="K219" s="2">
        <v>1</v>
      </c>
      <c r="L219" s="2">
        <v>3</v>
      </c>
      <c r="M219" s="2">
        <v>641564.6</v>
      </c>
      <c r="N219" s="2">
        <v>90468.96</v>
      </c>
    </row>
    <row r="220" spans="1:14" x14ac:dyDescent="0.45">
      <c r="A220" s="2" t="s">
        <v>117</v>
      </c>
      <c r="B220" s="3">
        <v>45689</v>
      </c>
      <c r="C220" s="2" t="s">
        <v>54</v>
      </c>
      <c r="D220" s="2" t="s">
        <v>67</v>
      </c>
      <c r="E220" s="2">
        <v>57225.98</v>
      </c>
      <c r="F220" s="2">
        <v>2842</v>
      </c>
      <c r="G220" s="2">
        <v>0.112</v>
      </c>
      <c r="H220" s="2">
        <v>10</v>
      </c>
      <c r="I220" s="2">
        <v>79.5</v>
      </c>
      <c r="J220" s="2">
        <v>5.45</v>
      </c>
      <c r="K220" s="2">
        <v>0</v>
      </c>
      <c r="L220" s="2">
        <v>3.4</v>
      </c>
      <c r="M220" s="2">
        <v>536545.49</v>
      </c>
      <c r="N220" s="2">
        <v>97917.45</v>
      </c>
    </row>
    <row r="221" spans="1:14" x14ac:dyDescent="0.45">
      <c r="A221" s="2" t="s">
        <v>117</v>
      </c>
      <c r="B221" s="3">
        <v>45717</v>
      </c>
      <c r="C221" s="2" t="s">
        <v>54</v>
      </c>
      <c r="D221" s="2" t="s">
        <v>67</v>
      </c>
      <c r="E221" s="2">
        <v>42932.02</v>
      </c>
      <c r="F221" s="2">
        <v>3872</v>
      </c>
      <c r="G221" s="2">
        <v>0.17100000000000001</v>
      </c>
      <c r="H221" s="2">
        <v>12</v>
      </c>
      <c r="I221" s="2">
        <v>83.2</v>
      </c>
      <c r="J221" s="2">
        <v>15.58</v>
      </c>
      <c r="K221" s="2">
        <v>0</v>
      </c>
      <c r="L221" s="2">
        <v>3.3</v>
      </c>
      <c r="M221" s="2">
        <v>527681.56000000006</v>
      </c>
      <c r="N221" s="2">
        <v>63153.05</v>
      </c>
    </row>
    <row r="222" spans="1:14" x14ac:dyDescent="0.45">
      <c r="A222" s="2" t="s">
        <v>118</v>
      </c>
      <c r="B222" s="3">
        <v>45658</v>
      </c>
      <c r="C222" s="2" t="s">
        <v>54</v>
      </c>
      <c r="D222" s="2" t="s">
        <v>57</v>
      </c>
      <c r="E222" s="2">
        <v>37324.230000000003</v>
      </c>
      <c r="F222" s="2">
        <v>5957</v>
      </c>
      <c r="G222" s="2">
        <v>7.0999999999999994E-2</v>
      </c>
      <c r="H222" s="2">
        <v>12</v>
      </c>
      <c r="I222" s="2">
        <v>85.9</v>
      </c>
      <c r="J222" s="2">
        <v>0.37</v>
      </c>
      <c r="K222" s="2">
        <v>0</v>
      </c>
      <c r="L222" s="2">
        <v>3.8</v>
      </c>
      <c r="M222" s="2">
        <v>570963.31000000006</v>
      </c>
      <c r="N222" s="2">
        <v>87342.25</v>
      </c>
    </row>
    <row r="223" spans="1:14" x14ac:dyDescent="0.45">
      <c r="A223" s="2" t="s">
        <v>118</v>
      </c>
      <c r="B223" s="3">
        <v>45689</v>
      </c>
      <c r="C223" s="2" t="s">
        <v>54</v>
      </c>
      <c r="D223" s="2" t="s">
        <v>57</v>
      </c>
      <c r="E223" s="2">
        <v>113736</v>
      </c>
      <c r="F223" s="2">
        <v>8961</v>
      </c>
      <c r="G223" s="2">
        <v>0.20200000000000001</v>
      </c>
      <c r="H223" s="2">
        <v>24</v>
      </c>
      <c r="I223" s="2">
        <v>86.2</v>
      </c>
      <c r="J223" s="2">
        <v>21.63</v>
      </c>
      <c r="K223" s="2">
        <v>0</v>
      </c>
      <c r="L223" s="2">
        <v>4</v>
      </c>
      <c r="M223" s="2">
        <v>870937.4</v>
      </c>
      <c r="N223" s="2">
        <v>175282.74</v>
      </c>
    </row>
    <row r="224" spans="1:14" x14ac:dyDescent="0.45">
      <c r="A224" s="2" t="s">
        <v>118</v>
      </c>
      <c r="B224" s="3">
        <v>45717</v>
      </c>
      <c r="C224" s="2" t="s">
        <v>54</v>
      </c>
      <c r="D224" s="2" t="s">
        <v>57</v>
      </c>
      <c r="E224" s="2">
        <v>33173.949999999997</v>
      </c>
      <c r="F224" s="2">
        <v>6545</v>
      </c>
      <c r="G224" s="2">
        <v>0.16900000000000001</v>
      </c>
      <c r="H224" s="2">
        <v>15</v>
      </c>
      <c r="I224" s="2">
        <v>84.4</v>
      </c>
      <c r="J224" s="2">
        <v>2.48</v>
      </c>
      <c r="K224" s="2">
        <v>0</v>
      </c>
      <c r="L224" s="2">
        <v>3.9</v>
      </c>
      <c r="M224" s="2">
        <v>596969.27</v>
      </c>
      <c r="N224" s="2">
        <v>105669.51</v>
      </c>
    </row>
    <row r="225" spans="1:14" x14ac:dyDescent="0.45">
      <c r="A225" s="2" t="s">
        <v>119</v>
      </c>
      <c r="B225" s="3">
        <v>45658</v>
      </c>
      <c r="C225" s="2" t="s">
        <v>66</v>
      </c>
      <c r="D225" s="2" t="s">
        <v>55</v>
      </c>
      <c r="E225" s="2">
        <v>47241.919999999998</v>
      </c>
      <c r="F225" s="2">
        <v>4264</v>
      </c>
      <c r="G225" s="2">
        <v>6.9000000000000006E-2</v>
      </c>
      <c r="H225" s="2">
        <v>13</v>
      </c>
      <c r="I225" s="2">
        <v>95.3</v>
      </c>
      <c r="J225" s="2">
        <v>0.85</v>
      </c>
      <c r="K225" s="2">
        <v>0</v>
      </c>
      <c r="L225" s="2">
        <v>4.3</v>
      </c>
      <c r="M225" s="2">
        <v>658072.14</v>
      </c>
      <c r="N225" s="2">
        <v>110595.89</v>
      </c>
    </row>
    <row r="226" spans="1:14" x14ac:dyDescent="0.45">
      <c r="A226" s="2" t="s">
        <v>119</v>
      </c>
      <c r="B226" s="3">
        <v>45689</v>
      </c>
      <c r="C226" s="2" t="s">
        <v>66</v>
      </c>
      <c r="D226" s="2" t="s">
        <v>55</v>
      </c>
      <c r="E226" s="2">
        <v>61650.79</v>
      </c>
      <c r="F226" s="2">
        <v>5321</v>
      </c>
      <c r="G226" s="2">
        <v>0.126</v>
      </c>
      <c r="H226" s="2">
        <v>17</v>
      </c>
      <c r="I226" s="2">
        <v>89.2</v>
      </c>
      <c r="J226" s="2">
        <v>2.13</v>
      </c>
      <c r="K226" s="2">
        <v>0</v>
      </c>
      <c r="L226" s="2">
        <v>4</v>
      </c>
      <c r="M226" s="2">
        <v>723305.11</v>
      </c>
      <c r="N226" s="2">
        <v>128468.7</v>
      </c>
    </row>
    <row r="227" spans="1:14" x14ac:dyDescent="0.45">
      <c r="A227" s="2" t="s">
        <v>119</v>
      </c>
      <c r="B227" s="3">
        <v>45717</v>
      </c>
      <c r="C227" s="2" t="s">
        <v>66</v>
      </c>
      <c r="D227" s="2" t="s">
        <v>55</v>
      </c>
      <c r="E227" s="2">
        <v>62582.71</v>
      </c>
      <c r="F227" s="2">
        <v>5479</v>
      </c>
      <c r="G227" s="2">
        <v>4.8000000000000001E-2</v>
      </c>
      <c r="H227" s="2">
        <v>16</v>
      </c>
      <c r="I227" s="2">
        <v>81.2</v>
      </c>
      <c r="J227" s="2">
        <v>1.46</v>
      </c>
      <c r="K227" s="2">
        <v>0</v>
      </c>
      <c r="L227" s="2">
        <v>4.5</v>
      </c>
      <c r="M227" s="2">
        <v>640666.53</v>
      </c>
      <c r="N227" s="2">
        <v>134919.16</v>
      </c>
    </row>
    <row r="228" spans="1:14" x14ac:dyDescent="0.45">
      <c r="A228" s="2" t="s">
        <v>119</v>
      </c>
      <c r="B228" s="3">
        <v>45748</v>
      </c>
      <c r="C228" s="2" t="s">
        <v>66</v>
      </c>
      <c r="D228" s="2" t="s">
        <v>55</v>
      </c>
      <c r="E228" s="2">
        <v>47944.14</v>
      </c>
      <c r="F228" s="2">
        <v>6169</v>
      </c>
      <c r="G228" s="2">
        <v>0.11899999999999999</v>
      </c>
      <c r="H228" s="2">
        <v>17</v>
      </c>
      <c r="I228" s="2">
        <v>92.2</v>
      </c>
      <c r="J228" s="2">
        <v>3.02</v>
      </c>
      <c r="K228" s="2">
        <v>0</v>
      </c>
      <c r="L228" s="2">
        <v>4.0999999999999996</v>
      </c>
      <c r="M228" s="2">
        <v>670629.48</v>
      </c>
      <c r="N228" s="2">
        <v>100140.8</v>
      </c>
    </row>
    <row r="229" spans="1:14" x14ac:dyDescent="0.45">
      <c r="A229" s="2" t="s">
        <v>120</v>
      </c>
      <c r="B229" s="3">
        <v>45658</v>
      </c>
      <c r="C229" s="2" t="s">
        <v>66</v>
      </c>
      <c r="D229" s="2" t="s">
        <v>67</v>
      </c>
      <c r="E229" s="2">
        <v>46495.4</v>
      </c>
      <c r="F229" s="2">
        <v>9908</v>
      </c>
      <c r="G229" s="2">
        <v>0.121</v>
      </c>
      <c r="H229" s="2">
        <v>22</v>
      </c>
      <c r="I229" s="2">
        <v>89.4</v>
      </c>
      <c r="J229" s="2">
        <v>3.22</v>
      </c>
      <c r="K229" s="2">
        <v>0</v>
      </c>
      <c r="L229" s="2">
        <v>3.7</v>
      </c>
      <c r="M229" s="2">
        <v>721079.35</v>
      </c>
      <c r="N229" s="2">
        <v>115295.05</v>
      </c>
    </row>
    <row r="230" spans="1:14" x14ac:dyDescent="0.45">
      <c r="A230" s="2" t="s">
        <v>120</v>
      </c>
      <c r="B230" s="3">
        <v>45689</v>
      </c>
      <c r="C230" s="2" t="s">
        <v>66</v>
      </c>
      <c r="D230" s="2" t="s">
        <v>67</v>
      </c>
      <c r="E230" s="2">
        <v>72961.95</v>
      </c>
      <c r="F230" s="2">
        <v>9996</v>
      </c>
      <c r="G230" s="2">
        <v>0.106</v>
      </c>
      <c r="H230" s="2">
        <v>22</v>
      </c>
      <c r="I230" s="2">
        <v>89.1</v>
      </c>
      <c r="J230" s="2">
        <v>15.66</v>
      </c>
      <c r="K230" s="2">
        <v>0</v>
      </c>
      <c r="L230" s="2">
        <v>3.4</v>
      </c>
      <c r="M230" s="2">
        <v>810355.02</v>
      </c>
      <c r="N230" s="2">
        <v>131510</v>
      </c>
    </row>
    <row r="231" spans="1:14" x14ac:dyDescent="0.45">
      <c r="A231" s="2" t="s">
        <v>120</v>
      </c>
      <c r="B231" s="3">
        <v>45717</v>
      </c>
      <c r="C231" s="2" t="s">
        <v>66</v>
      </c>
      <c r="D231" s="2" t="s">
        <v>67</v>
      </c>
      <c r="E231" s="2">
        <v>59060.05</v>
      </c>
      <c r="F231" s="2">
        <v>9702</v>
      </c>
      <c r="G231" s="2">
        <v>0.20100000000000001</v>
      </c>
      <c r="H231" s="2">
        <v>23</v>
      </c>
      <c r="I231" s="2">
        <v>80.900000000000006</v>
      </c>
      <c r="J231" s="2">
        <v>6.96</v>
      </c>
      <c r="K231" s="2">
        <v>0</v>
      </c>
      <c r="L231" s="2">
        <v>3.2</v>
      </c>
      <c r="M231" s="2">
        <v>761919.25</v>
      </c>
      <c r="N231" s="2">
        <v>111893.06</v>
      </c>
    </row>
    <row r="232" spans="1:14" x14ac:dyDescent="0.45">
      <c r="A232" s="2" t="s">
        <v>120</v>
      </c>
      <c r="B232" s="3">
        <v>45748</v>
      </c>
      <c r="C232" s="2" t="s">
        <v>66</v>
      </c>
      <c r="D232" s="2" t="s">
        <v>67</v>
      </c>
      <c r="E232" s="2">
        <v>26248.1</v>
      </c>
      <c r="F232" s="2">
        <v>9314</v>
      </c>
      <c r="G232" s="2">
        <v>0.186</v>
      </c>
      <c r="H232" s="2">
        <v>21</v>
      </c>
      <c r="I232" s="2">
        <v>83.7</v>
      </c>
      <c r="J232" s="2">
        <v>4.62</v>
      </c>
      <c r="K232" s="2">
        <v>0</v>
      </c>
      <c r="L232" s="2">
        <v>3.3</v>
      </c>
      <c r="M232" s="2">
        <v>737070.18</v>
      </c>
      <c r="N232" s="2">
        <v>117593.97</v>
      </c>
    </row>
    <row r="233" spans="1:14" x14ac:dyDescent="0.45">
      <c r="A233" s="2" t="s">
        <v>121</v>
      </c>
      <c r="B233" s="3">
        <v>45658</v>
      </c>
      <c r="C233" s="2" t="s">
        <v>63</v>
      </c>
      <c r="D233" s="2" t="s">
        <v>60</v>
      </c>
      <c r="E233" s="2">
        <v>69900.12</v>
      </c>
      <c r="F233" s="2">
        <v>8055</v>
      </c>
      <c r="G233" s="2">
        <v>0.28100000000000003</v>
      </c>
      <c r="H233" s="2">
        <v>22</v>
      </c>
      <c r="I233" s="2">
        <v>85.6</v>
      </c>
      <c r="J233" s="2">
        <v>10.68</v>
      </c>
      <c r="K233" s="2">
        <v>1</v>
      </c>
      <c r="L233" s="2">
        <v>2.9</v>
      </c>
      <c r="M233" s="2">
        <v>776992.93</v>
      </c>
      <c r="N233" s="2">
        <v>101598.32</v>
      </c>
    </row>
    <row r="234" spans="1:14" x14ac:dyDescent="0.45">
      <c r="A234" s="2" t="s">
        <v>121</v>
      </c>
      <c r="B234" s="3">
        <v>45689</v>
      </c>
      <c r="C234" s="2" t="s">
        <v>63</v>
      </c>
      <c r="D234" s="2" t="s">
        <v>60</v>
      </c>
      <c r="E234" s="2">
        <v>51781.599999999999</v>
      </c>
      <c r="F234" s="2">
        <v>5648</v>
      </c>
      <c r="G234" s="2">
        <v>5.8999999999999997E-2</v>
      </c>
      <c r="H234" s="2">
        <v>13</v>
      </c>
      <c r="I234" s="2">
        <v>85.5</v>
      </c>
      <c r="J234" s="2">
        <v>4.04</v>
      </c>
      <c r="K234" s="2">
        <v>0</v>
      </c>
      <c r="L234" s="2">
        <v>3.7</v>
      </c>
      <c r="M234" s="2">
        <v>676337.41</v>
      </c>
      <c r="N234" s="2">
        <v>104355.77</v>
      </c>
    </row>
    <row r="235" spans="1:14" x14ac:dyDescent="0.45">
      <c r="A235" s="2" t="s">
        <v>121</v>
      </c>
      <c r="B235" s="3">
        <v>45717</v>
      </c>
      <c r="C235" s="2" t="s">
        <v>63</v>
      </c>
      <c r="D235" s="2" t="s">
        <v>60</v>
      </c>
      <c r="E235" s="2">
        <v>70799.64</v>
      </c>
      <c r="F235" s="2">
        <v>10076</v>
      </c>
      <c r="G235" s="2">
        <v>0.152</v>
      </c>
      <c r="H235" s="2">
        <v>24</v>
      </c>
      <c r="I235" s="2">
        <v>84.8</v>
      </c>
      <c r="J235" s="2">
        <v>1.87</v>
      </c>
      <c r="K235" s="2">
        <v>0</v>
      </c>
      <c r="L235" s="2">
        <v>3.5</v>
      </c>
      <c r="M235" s="2">
        <v>828219.67</v>
      </c>
      <c r="N235" s="2">
        <v>179806.87</v>
      </c>
    </row>
    <row r="236" spans="1:14" x14ac:dyDescent="0.45">
      <c r="A236" s="2" t="s">
        <v>121</v>
      </c>
      <c r="B236" s="3">
        <v>45748</v>
      </c>
      <c r="C236" s="2" t="s">
        <v>63</v>
      </c>
      <c r="D236" s="2" t="s">
        <v>60</v>
      </c>
      <c r="E236" s="2">
        <v>53546.34</v>
      </c>
      <c r="F236" s="2">
        <v>8004</v>
      </c>
      <c r="G236" s="2">
        <v>0</v>
      </c>
      <c r="H236" s="2">
        <v>21</v>
      </c>
      <c r="I236" s="2">
        <v>95.2</v>
      </c>
      <c r="J236" s="2">
        <v>2.83</v>
      </c>
      <c r="K236" s="2">
        <v>0</v>
      </c>
      <c r="L236" s="2">
        <v>3</v>
      </c>
      <c r="M236" s="2">
        <v>763159.92</v>
      </c>
      <c r="N236" s="2">
        <v>177104.87</v>
      </c>
    </row>
    <row r="237" spans="1:14" x14ac:dyDescent="0.45">
      <c r="A237" s="2" t="s">
        <v>122</v>
      </c>
      <c r="B237" s="3">
        <v>45658</v>
      </c>
      <c r="C237" s="2" t="s">
        <v>54</v>
      </c>
      <c r="D237" s="2" t="s">
        <v>57</v>
      </c>
      <c r="E237" s="2">
        <v>76942.2</v>
      </c>
      <c r="F237" s="2">
        <v>8934</v>
      </c>
      <c r="G237" s="2">
        <v>8.4000000000000005E-2</v>
      </c>
      <c r="H237" s="2">
        <v>20</v>
      </c>
      <c r="I237" s="2">
        <v>91</v>
      </c>
      <c r="J237" s="2">
        <v>0.95</v>
      </c>
      <c r="K237" s="2">
        <v>0</v>
      </c>
      <c r="L237" s="2">
        <v>3.2</v>
      </c>
      <c r="M237" s="2">
        <v>802001.68</v>
      </c>
      <c r="N237" s="2">
        <v>159715.82</v>
      </c>
    </row>
    <row r="238" spans="1:14" x14ac:dyDescent="0.45">
      <c r="A238" s="2" t="s">
        <v>122</v>
      </c>
      <c r="B238" s="3">
        <v>45689</v>
      </c>
      <c r="C238" s="2" t="s">
        <v>54</v>
      </c>
      <c r="D238" s="2" t="s">
        <v>57</v>
      </c>
      <c r="E238" s="2">
        <v>48060.78</v>
      </c>
      <c r="F238" s="2">
        <v>8733</v>
      </c>
      <c r="G238" s="2">
        <v>0</v>
      </c>
      <c r="H238" s="2">
        <v>20</v>
      </c>
      <c r="I238" s="2">
        <v>89.9</v>
      </c>
      <c r="J238" s="2">
        <v>0.8</v>
      </c>
      <c r="K238" s="2">
        <v>0</v>
      </c>
      <c r="L238" s="2">
        <v>3.4</v>
      </c>
      <c r="M238" s="2">
        <v>750471.34</v>
      </c>
      <c r="N238" s="2">
        <v>133788.04</v>
      </c>
    </row>
    <row r="239" spans="1:14" x14ac:dyDescent="0.45">
      <c r="A239" s="2" t="s">
        <v>122</v>
      </c>
      <c r="B239" s="3">
        <v>45717</v>
      </c>
      <c r="C239" s="2" t="s">
        <v>54</v>
      </c>
      <c r="D239" s="2" t="s">
        <v>57</v>
      </c>
      <c r="E239" s="2">
        <v>57390.04</v>
      </c>
      <c r="F239" s="2">
        <v>7374</v>
      </c>
      <c r="G239" s="2">
        <v>0.21</v>
      </c>
      <c r="H239" s="2">
        <v>21</v>
      </c>
      <c r="I239" s="2">
        <v>91.8</v>
      </c>
      <c r="J239" s="2">
        <v>0.2</v>
      </c>
      <c r="K239" s="2">
        <v>0</v>
      </c>
      <c r="L239" s="2">
        <v>3.1</v>
      </c>
      <c r="M239" s="2">
        <v>679230.86</v>
      </c>
      <c r="N239" s="2">
        <v>106927.58</v>
      </c>
    </row>
    <row r="240" spans="1:14" x14ac:dyDescent="0.45">
      <c r="A240" s="2" t="s">
        <v>122</v>
      </c>
      <c r="B240" s="3">
        <v>45748</v>
      </c>
      <c r="C240" s="2" t="s">
        <v>54</v>
      </c>
      <c r="D240" s="2" t="s">
        <v>57</v>
      </c>
      <c r="E240" s="2">
        <v>21536.18</v>
      </c>
      <c r="F240" s="2">
        <v>8119</v>
      </c>
      <c r="G240" s="2">
        <v>0.22700000000000001</v>
      </c>
      <c r="H240" s="2">
        <v>20</v>
      </c>
      <c r="I240" s="2">
        <v>90.4</v>
      </c>
      <c r="J240" s="2">
        <v>1.7</v>
      </c>
      <c r="K240" s="2">
        <v>0</v>
      </c>
      <c r="L240" s="2">
        <v>3.3</v>
      </c>
      <c r="M240" s="2">
        <v>679888.74</v>
      </c>
      <c r="N240" s="2">
        <v>83406.89</v>
      </c>
    </row>
    <row r="241" spans="1:14" x14ac:dyDescent="0.45">
      <c r="A241" s="2" t="s">
        <v>123</v>
      </c>
      <c r="B241" s="3">
        <v>45689</v>
      </c>
      <c r="C241" s="2" t="s">
        <v>59</v>
      </c>
      <c r="D241" s="2" t="s">
        <v>57</v>
      </c>
      <c r="E241" s="2">
        <v>72932.55</v>
      </c>
      <c r="F241" s="2">
        <v>5765</v>
      </c>
      <c r="G241" s="2">
        <v>2.5999999999999999E-2</v>
      </c>
      <c r="H241" s="2">
        <v>17</v>
      </c>
      <c r="I241" s="2">
        <v>81.8</v>
      </c>
      <c r="J241" s="2">
        <v>5.0999999999999996</v>
      </c>
      <c r="K241" s="2">
        <v>0</v>
      </c>
      <c r="L241" s="2">
        <v>3.6</v>
      </c>
      <c r="M241" s="2">
        <v>642751.42000000004</v>
      </c>
      <c r="N241" s="2">
        <v>131942.15</v>
      </c>
    </row>
    <row r="242" spans="1:14" x14ac:dyDescent="0.45">
      <c r="A242" s="2" t="s">
        <v>123</v>
      </c>
      <c r="B242" s="3">
        <v>45717</v>
      </c>
      <c r="C242" s="2" t="s">
        <v>59</v>
      </c>
      <c r="D242" s="2" t="s">
        <v>57</v>
      </c>
      <c r="E242" s="2">
        <v>38361.93</v>
      </c>
      <c r="F242" s="2">
        <v>6322</v>
      </c>
      <c r="G242" s="2">
        <v>0.27300000000000002</v>
      </c>
      <c r="H242" s="2">
        <v>15</v>
      </c>
      <c r="I242" s="2">
        <v>88.4</v>
      </c>
      <c r="J242" s="2">
        <v>0.83</v>
      </c>
      <c r="K242" s="2">
        <v>0</v>
      </c>
      <c r="L242" s="2">
        <v>4</v>
      </c>
      <c r="M242" s="2">
        <v>647953.78</v>
      </c>
      <c r="N242" s="2">
        <v>118497.43</v>
      </c>
    </row>
    <row r="243" spans="1:14" x14ac:dyDescent="0.45">
      <c r="A243" s="2" t="s">
        <v>123</v>
      </c>
      <c r="B243" s="3">
        <v>45748</v>
      </c>
      <c r="C243" s="2" t="s">
        <v>59</v>
      </c>
      <c r="D243" s="2" t="s">
        <v>57</v>
      </c>
      <c r="E243" s="2">
        <v>97480.94</v>
      </c>
      <c r="F243" s="2">
        <v>6840</v>
      </c>
      <c r="G243" s="2">
        <v>8.6999999999999994E-2</v>
      </c>
      <c r="H243" s="2">
        <v>14</v>
      </c>
      <c r="I243" s="2">
        <v>79.2</v>
      </c>
      <c r="J243" s="2">
        <v>1.1399999999999999</v>
      </c>
      <c r="K243" s="2">
        <v>0</v>
      </c>
      <c r="L243" s="2">
        <v>4</v>
      </c>
      <c r="M243" s="2">
        <v>729440.45</v>
      </c>
      <c r="N243" s="2">
        <v>87614.29</v>
      </c>
    </row>
    <row r="244" spans="1:14" x14ac:dyDescent="0.45">
      <c r="A244" s="2" t="s">
        <v>124</v>
      </c>
      <c r="B244" s="3">
        <v>45658</v>
      </c>
      <c r="C244" s="2" t="s">
        <v>63</v>
      </c>
      <c r="D244" s="2" t="s">
        <v>60</v>
      </c>
      <c r="E244" s="2">
        <v>81801.8</v>
      </c>
      <c r="F244" s="2">
        <v>6782</v>
      </c>
      <c r="G244" s="2">
        <v>0.05</v>
      </c>
      <c r="H244" s="2">
        <v>16</v>
      </c>
      <c r="I244" s="2">
        <v>99</v>
      </c>
      <c r="J244" s="2">
        <v>9.5399999999999991</v>
      </c>
      <c r="K244" s="2">
        <v>0</v>
      </c>
      <c r="L244" s="2">
        <v>3.7</v>
      </c>
      <c r="M244" s="2">
        <v>764949</v>
      </c>
      <c r="N244" s="2">
        <v>148322.43</v>
      </c>
    </row>
    <row r="245" spans="1:14" x14ac:dyDescent="0.45">
      <c r="A245" s="2" t="s">
        <v>124</v>
      </c>
      <c r="B245" s="3">
        <v>45689</v>
      </c>
      <c r="C245" s="2" t="s">
        <v>63</v>
      </c>
      <c r="D245" s="2" t="s">
        <v>60</v>
      </c>
      <c r="E245" s="2">
        <v>63582.11</v>
      </c>
      <c r="F245" s="2">
        <v>6856</v>
      </c>
      <c r="G245" s="2">
        <v>7.3999999999999996E-2</v>
      </c>
      <c r="H245" s="2">
        <v>17</v>
      </c>
      <c r="I245" s="2">
        <v>89.5</v>
      </c>
      <c r="J245" s="2">
        <v>5.48</v>
      </c>
      <c r="K245" s="2">
        <v>0</v>
      </c>
      <c r="L245" s="2">
        <v>3.2</v>
      </c>
      <c r="M245" s="2">
        <v>799046.94</v>
      </c>
      <c r="N245" s="2">
        <v>144553.64000000001</v>
      </c>
    </row>
    <row r="246" spans="1:14" x14ac:dyDescent="0.45">
      <c r="A246" s="2" t="s">
        <v>124</v>
      </c>
      <c r="B246" s="3">
        <v>45717</v>
      </c>
      <c r="C246" s="2" t="s">
        <v>63</v>
      </c>
      <c r="D246" s="2" t="s">
        <v>60</v>
      </c>
      <c r="E246" s="2">
        <v>75412.740000000005</v>
      </c>
      <c r="F246" s="2">
        <v>5641</v>
      </c>
      <c r="G246" s="2">
        <v>5.8999999999999997E-2</v>
      </c>
      <c r="H246" s="2">
        <v>13</v>
      </c>
      <c r="I246" s="2">
        <v>87.9</v>
      </c>
      <c r="J246" s="2">
        <v>0.84</v>
      </c>
      <c r="K246" s="2">
        <v>0</v>
      </c>
      <c r="L246" s="2">
        <v>3.6</v>
      </c>
      <c r="M246" s="2">
        <v>720079.54</v>
      </c>
      <c r="N246" s="2">
        <v>119499.47</v>
      </c>
    </row>
    <row r="247" spans="1:14" x14ac:dyDescent="0.45">
      <c r="A247" s="2" t="s">
        <v>124</v>
      </c>
      <c r="B247" s="3">
        <v>45748</v>
      </c>
      <c r="C247" s="2" t="s">
        <v>63</v>
      </c>
      <c r="D247" s="2" t="s">
        <v>60</v>
      </c>
      <c r="E247" s="2">
        <v>36290.080000000002</v>
      </c>
      <c r="F247" s="2">
        <v>5787</v>
      </c>
      <c r="G247" s="2">
        <v>0</v>
      </c>
      <c r="H247" s="2">
        <v>17</v>
      </c>
      <c r="I247" s="2">
        <v>88.3</v>
      </c>
      <c r="J247" s="2">
        <v>4.1900000000000004</v>
      </c>
      <c r="K247" s="2">
        <v>0</v>
      </c>
      <c r="L247" s="2">
        <v>4.0999999999999996</v>
      </c>
      <c r="M247" s="2">
        <v>612390.14</v>
      </c>
      <c r="N247" s="2">
        <v>108985.74</v>
      </c>
    </row>
    <row r="248" spans="1:14" x14ac:dyDescent="0.45">
      <c r="A248" s="2" t="s">
        <v>125</v>
      </c>
      <c r="B248" s="3">
        <v>45658</v>
      </c>
      <c r="C248" s="2" t="s">
        <v>63</v>
      </c>
      <c r="D248" s="2" t="s">
        <v>67</v>
      </c>
      <c r="E248" s="2">
        <v>65272.58</v>
      </c>
      <c r="F248" s="2">
        <v>8165</v>
      </c>
      <c r="G248" s="2">
        <v>5.0999999999999997E-2</v>
      </c>
      <c r="H248" s="2">
        <v>19</v>
      </c>
      <c r="I248" s="2">
        <v>87.8</v>
      </c>
      <c r="J248" s="2">
        <v>1.26</v>
      </c>
      <c r="K248" s="2">
        <v>1</v>
      </c>
      <c r="L248" s="2">
        <v>4.3</v>
      </c>
      <c r="M248" s="2">
        <v>840108.12</v>
      </c>
      <c r="N248" s="2">
        <v>126587.01</v>
      </c>
    </row>
    <row r="249" spans="1:14" x14ac:dyDescent="0.45">
      <c r="A249" s="2" t="s">
        <v>125</v>
      </c>
      <c r="B249" s="3">
        <v>45689</v>
      </c>
      <c r="C249" s="2" t="s">
        <v>63</v>
      </c>
      <c r="D249" s="2" t="s">
        <v>67</v>
      </c>
      <c r="E249" s="2">
        <v>28670.43</v>
      </c>
      <c r="F249" s="2">
        <v>7574</v>
      </c>
      <c r="G249" s="2">
        <v>0.114</v>
      </c>
      <c r="H249" s="2">
        <v>19</v>
      </c>
      <c r="I249" s="2">
        <v>82.7</v>
      </c>
      <c r="J249" s="2">
        <v>2.74</v>
      </c>
      <c r="K249" s="2">
        <v>0</v>
      </c>
      <c r="L249" s="2">
        <v>4.5999999999999996</v>
      </c>
      <c r="M249" s="2">
        <v>697888.09</v>
      </c>
      <c r="N249" s="2">
        <v>116249.87</v>
      </c>
    </row>
    <row r="250" spans="1:14" x14ac:dyDescent="0.45">
      <c r="A250" s="2" t="s">
        <v>125</v>
      </c>
      <c r="B250" s="3">
        <v>45717</v>
      </c>
      <c r="C250" s="2" t="s">
        <v>63</v>
      </c>
      <c r="D250" s="2" t="s">
        <v>67</v>
      </c>
      <c r="E250" s="2">
        <v>44189.34</v>
      </c>
      <c r="F250" s="2">
        <v>8634</v>
      </c>
      <c r="G250" s="2">
        <v>0.14299999999999999</v>
      </c>
      <c r="H250" s="2">
        <v>19</v>
      </c>
      <c r="I250" s="2">
        <v>87.5</v>
      </c>
      <c r="J250" s="2">
        <v>3.69</v>
      </c>
      <c r="K250" s="2">
        <v>0</v>
      </c>
      <c r="L250" s="2">
        <v>4.4000000000000004</v>
      </c>
      <c r="M250" s="2">
        <v>746115.59</v>
      </c>
      <c r="N250" s="2">
        <v>94662.96</v>
      </c>
    </row>
    <row r="251" spans="1:14" x14ac:dyDescent="0.45">
      <c r="A251" s="2" t="s">
        <v>125</v>
      </c>
      <c r="B251" s="3">
        <v>45748</v>
      </c>
      <c r="C251" s="2" t="s">
        <v>63</v>
      </c>
      <c r="D251" s="2" t="s">
        <v>67</v>
      </c>
      <c r="E251" s="2">
        <v>38397.82</v>
      </c>
      <c r="F251" s="2">
        <v>7836</v>
      </c>
      <c r="G251" s="2">
        <v>7.0000000000000001E-3</v>
      </c>
      <c r="H251" s="2">
        <v>21</v>
      </c>
      <c r="I251" s="2">
        <v>92.2</v>
      </c>
      <c r="J251" s="2">
        <v>1.82</v>
      </c>
      <c r="K251" s="2">
        <v>0</v>
      </c>
      <c r="L251" s="2">
        <v>3.6</v>
      </c>
      <c r="M251" s="2">
        <v>776110.32</v>
      </c>
      <c r="N251" s="2">
        <v>139676.21</v>
      </c>
    </row>
    <row r="252" spans="1:14" x14ac:dyDescent="0.45">
      <c r="A252" s="2" t="s">
        <v>126</v>
      </c>
      <c r="B252" s="3">
        <v>45658</v>
      </c>
      <c r="C252" s="2" t="s">
        <v>66</v>
      </c>
      <c r="D252" s="2" t="s">
        <v>57</v>
      </c>
      <c r="E252" s="2">
        <v>14519.37</v>
      </c>
      <c r="F252" s="2">
        <v>3047</v>
      </c>
      <c r="G252" s="2">
        <v>0.13500000000000001</v>
      </c>
      <c r="H252" s="2">
        <v>10</v>
      </c>
      <c r="I252" s="2">
        <v>90.3</v>
      </c>
      <c r="J252" s="2">
        <v>6.62</v>
      </c>
      <c r="K252" s="2">
        <v>0</v>
      </c>
      <c r="L252" s="2">
        <v>4.2</v>
      </c>
      <c r="M252" s="2">
        <v>528852.62</v>
      </c>
      <c r="N252" s="2">
        <v>68426.210000000006</v>
      </c>
    </row>
    <row r="253" spans="1:14" x14ac:dyDescent="0.45">
      <c r="A253" s="2" t="s">
        <v>126</v>
      </c>
      <c r="B253" s="3">
        <v>45717</v>
      </c>
      <c r="C253" s="2" t="s">
        <v>66</v>
      </c>
      <c r="D253" s="2" t="s">
        <v>57</v>
      </c>
      <c r="E253" s="2">
        <v>51450.55</v>
      </c>
      <c r="F253" s="2">
        <v>4902</v>
      </c>
      <c r="G253" s="2">
        <v>8.5999999999999993E-2</v>
      </c>
      <c r="H253" s="2">
        <v>11</v>
      </c>
      <c r="I253" s="2">
        <v>83.7</v>
      </c>
      <c r="J253" s="2">
        <v>6.92</v>
      </c>
      <c r="K253" s="2">
        <v>1</v>
      </c>
      <c r="L253" s="2">
        <v>4.2</v>
      </c>
      <c r="M253" s="2">
        <v>677640.65</v>
      </c>
      <c r="N253" s="2">
        <v>111610.89</v>
      </c>
    </row>
    <row r="254" spans="1:14" x14ac:dyDescent="0.45">
      <c r="A254" s="2" t="s">
        <v>126</v>
      </c>
      <c r="B254" s="3">
        <v>45748</v>
      </c>
      <c r="C254" s="2" t="s">
        <v>66</v>
      </c>
      <c r="D254" s="2" t="s">
        <v>57</v>
      </c>
      <c r="E254" s="2">
        <v>58688.26</v>
      </c>
      <c r="F254" s="2">
        <v>4022</v>
      </c>
      <c r="G254" s="2">
        <v>0.217</v>
      </c>
      <c r="H254" s="2">
        <v>12</v>
      </c>
      <c r="I254" s="2">
        <v>93.8</v>
      </c>
      <c r="J254" s="2">
        <v>11.78</v>
      </c>
      <c r="K254" s="2">
        <v>0</v>
      </c>
      <c r="L254" s="2">
        <v>3.7</v>
      </c>
      <c r="M254" s="2">
        <v>636613.23</v>
      </c>
      <c r="N254" s="2">
        <v>78908.350000000006</v>
      </c>
    </row>
    <row r="255" spans="1:14" x14ac:dyDescent="0.45">
      <c r="A255" s="2" t="s">
        <v>127</v>
      </c>
      <c r="B255" s="3">
        <v>45658</v>
      </c>
      <c r="C255" s="2" t="s">
        <v>54</v>
      </c>
      <c r="D255" s="2" t="s">
        <v>57</v>
      </c>
      <c r="E255" s="2">
        <v>58981.91</v>
      </c>
      <c r="F255" s="2">
        <v>7324</v>
      </c>
      <c r="G255" s="2">
        <v>9.4E-2</v>
      </c>
      <c r="H255" s="2">
        <v>15</v>
      </c>
      <c r="I255" s="2">
        <v>95.8</v>
      </c>
      <c r="J255" s="2">
        <v>0.5</v>
      </c>
      <c r="K255" s="2">
        <v>0</v>
      </c>
      <c r="L255" s="2">
        <v>3.5</v>
      </c>
      <c r="M255" s="2">
        <v>708985.19</v>
      </c>
      <c r="N255" s="2">
        <v>125368.16</v>
      </c>
    </row>
    <row r="256" spans="1:14" x14ac:dyDescent="0.45">
      <c r="A256" s="2" t="s">
        <v>127</v>
      </c>
      <c r="B256" s="3">
        <v>45689</v>
      </c>
      <c r="C256" s="2" t="s">
        <v>54</v>
      </c>
      <c r="D256" s="2" t="s">
        <v>57</v>
      </c>
      <c r="E256" s="2">
        <v>73454.539999999994</v>
      </c>
      <c r="F256" s="2">
        <v>8129</v>
      </c>
      <c r="G256" s="2">
        <v>0.21099999999999999</v>
      </c>
      <c r="H256" s="2">
        <v>20</v>
      </c>
      <c r="I256" s="2">
        <v>85.2</v>
      </c>
      <c r="J256" s="2">
        <v>0.88</v>
      </c>
      <c r="K256" s="2">
        <v>0</v>
      </c>
      <c r="L256" s="2">
        <v>3.7</v>
      </c>
      <c r="M256" s="2">
        <v>767792.94</v>
      </c>
      <c r="N256" s="2">
        <v>96235.77</v>
      </c>
    </row>
    <row r="257" spans="1:14" x14ac:dyDescent="0.45">
      <c r="A257" s="2" t="s">
        <v>127</v>
      </c>
      <c r="B257" s="3">
        <v>45717</v>
      </c>
      <c r="C257" s="2" t="s">
        <v>54</v>
      </c>
      <c r="D257" s="2" t="s">
        <v>57</v>
      </c>
      <c r="E257" s="2">
        <v>56602.39</v>
      </c>
      <c r="F257" s="2">
        <v>7969</v>
      </c>
      <c r="G257" s="2">
        <v>0.17</v>
      </c>
      <c r="H257" s="2">
        <v>21</v>
      </c>
      <c r="I257" s="2">
        <v>88.3</v>
      </c>
      <c r="J257" s="2">
        <v>2.25</v>
      </c>
      <c r="K257" s="2">
        <v>0</v>
      </c>
      <c r="L257" s="2">
        <v>3.7</v>
      </c>
      <c r="M257" s="2">
        <v>745580.51</v>
      </c>
      <c r="N257" s="2">
        <v>116273.68</v>
      </c>
    </row>
    <row r="258" spans="1:14" x14ac:dyDescent="0.45">
      <c r="A258" s="2" t="s">
        <v>127</v>
      </c>
      <c r="B258" s="3">
        <v>45748</v>
      </c>
      <c r="C258" s="2" t="s">
        <v>54</v>
      </c>
      <c r="D258" s="2" t="s">
        <v>57</v>
      </c>
      <c r="E258" s="2">
        <v>67722.289999999994</v>
      </c>
      <c r="F258" s="2">
        <v>7240</v>
      </c>
      <c r="G258" s="2">
        <v>2.5999999999999999E-2</v>
      </c>
      <c r="H258" s="2">
        <v>15</v>
      </c>
      <c r="I258" s="2">
        <v>92.9</v>
      </c>
      <c r="J258" s="2">
        <v>0.28999999999999998</v>
      </c>
      <c r="K258" s="2">
        <v>0</v>
      </c>
      <c r="L258" s="2">
        <v>3.5</v>
      </c>
      <c r="M258" s="2">
        <v>762328.31</v>
      </c>
      <c r="N258" s="2">
        <v>159158.19</v>
      </c>
    </row>
    <row r="259" spans="1:14" x14ac:dyDescent="0.45">
      <c r="A259" s="2" t="s">
        <v>128</v>
      </c>
      <c r="B259" s="3">
        <v>45658</v>
      </c>
      <c r="C259" s="2" t="s">
        <v>54</v>
      </c>
      <c r="D259" s="2" t="s">
        <v>67</v>
      </c>
      <c r="E259" s="2">
        <v>48752.92</v>
      </c>
      <c r="F259" s="2">
        <v>8052</v>
      </c>
      <c r="G259" s="2">
        <v>0.106</v>
      </c>
      <c r="H259" s="2">
        <v>16</v>
      </c>
      <c r="I259" s="2">
        <v>94.9</v>
      </c>
      <c r="J259" s="2">
        <v>0.65</v>
      </c>
      <c r="K259" s="2">
        <v>0</v>
      </c>
      <c r="L259" s="2">
        <v>3.6</v>
      </c>
      <c r="M259" s="2">
        <v>660633.99</v>
      </c>
      <c r="N259" s="2">
        <v>118768.66</v>
      </c>
    </row>
    <row r="260" spans="1:14" x14ac:dyDescent="0.45">
      <c r="A260" s="2" t="s">
        <v>128</v>
      </c>
      <c r="B260" s="3">
        <v>45689</v>
      </c>
      <c r="C260" s="2" t="s">
        <v>54</v>
      </c>
      <c r="D260" s="2" t="s">
        <v>67</v>
      </c>
      <c r="E260" s="2">
        <v>23914.97</v>
      </c>
      <c r="F260" s="2">
        <v>8018</v>
      </c>
      <c r="G260" s="2">
        <v>0.13900000000000001</v>
      </c>
      <c r="H260" s="2">
        <v>20</v>
      </c>
      <c r="I260" s="2">
        <v>89</v>
      </c>
      <c r="J260" s="2">
        <v>0.2</v>
      </c>
      <c r="K260" s="2">
        <v>0</v>
      </c>
      <c r="L260" s="2">
        <v>3.5</v>
      </c>
      <c r="M260" s="2">
        <v>739374.56</v>
      </c>
      <c r="N260" s="2">
        <v>121032.29</v>
      </c>
    </row>
    <row r="261" spans="1:14" x14ac:dyDescent="0.45">
      <c r="A261" s="2" t="s">
        <v>128</v>
      </c>
      <c r="B261" s="3">
        <v>45717</v>
      </c>
      <c r="C261" s="2" t="s">
        <v>54</v>
      </c>
      <c r="D261" s="2" t="s">
        <v>67</v>
      </c>
      <c r="E261" s="2">
        <v>61995.3</v>
      </c>
      <c r="F261" s="2">
        <v>10192</v>
      </c>
      <c r="G261" s="2">
        <v>0.19800000000000001</v>
      </c>
      <c r="H261" s="2">
        <v>21</v>
      </c>
      <c r="I261" s="2">
        <v>87.6</v>
      </c>
      <c r="J261" s="2">
        <v>3.63</v>
      </c>
      <c r="K261" s="2">
        <v>1</v>
      </c>
      <c r="L261" s="2">
        <v>3.8</v>
      </c>
      <c r="M261" s="2">
        <v>799756.46</v>
      </c>
      <c r="N261" s="2">
        <v>105052.93</v>
      </c>
    </row>
    <row r="262" spans="1:14" x14ac:dyDescent="0.45">
      <c r="A262" s="2" t="s">
        <v>128</v>
      </c>
      <c r="B262" s="3">
        <v>45748</v>
      </c>
      <c r="C262" s="2" t="s">
        <v>54</v>
      </c>
      <c r="D262" s="2" t="s">
        <v>67</v>
      </c>
      <c r="E262" s="2">
        <v>29344.93</v>
      </c>
      <c r="F262" s="2">
        <v>7446</v>
      </c>
      <c r="G262" s="2">
        <v>0.111</v>
      </c>
      <c r="H262" s="2">
        <v>15</v>
      </c>
      <c r="I262" s="2">
        <v>86.2</v>
      </c>
      <c r="J262" s="2">
        <v>0.2</v>
      </c>
      <c r="K262" s="2">
        <v>0</v>
      </c>
      <c r="L262" s="2">
        <v>3.2</v>
      </c>
      <c r="M262" s="2">
        <v>593343</v>
      </c>
      <c r="N262" s="2">
        <v>82832.240000000005</v>
      </c>
    </row>
    <row r="263" spans="1:14" x14ac:dyDescent="0.45">
      <c r="A263" s="2" t="s">
        <v>129</v>
      </c>
      <c r="B263" s="3">
        <v>45658</v>
      </c>
      <c r="C263" s="2" t="s">
        <v>66</v>
      </c>
      <c r="D263" s="2" t="s">
        <v>57</v>
      </c>
      <c r="E263" s="2">
        <v>50532.17</v>
      </c>
      <c r="F263" s="2">
        <v>5689</v>
      </c>
      <c r="G263" s="2">
        <v>5.1999999999999998E-2</v>
      </c>
      <c r="H263" s="2">
        <v>17</v>
      </c>
      <c r="I263" s="2">
        <v>85.6</v>
      </c>
      <c r="J263" s="2">
        <v>6.23</v>
      </c>
      <c r="K263" s="2">
        <v>0</v>
      </c>
      <c r="L263" s="2">
        <v>3.3</v>
      </c>
      <c r="M263" s="2">
        <v>645039.97</v>
      </c>
      <c r="N263" s="2">
        <v>83093.33</v>
      </c>
    </row>
    <row r="264" spans="1:14" x14ac:dyDescent="0.45">
      <c r="A264" s="2" t="s">
        <v>129</v>
      </c>
      <c r="B264" s="3">
        <v>45689</v>
      </c>
      <c r="C264" s="2" t="s">
        <v>66</v>
      </c>
      <c r="D264" s="2" t="s">
        <v>57</v>
      </c>
      <c r="E264" s="2">
        <v>17562.57</v>
      </c>
      <c r="F264" s="2">
        <v>3326</v>
      </c>
      <c r="G264" s="2">
        <v>0.153</v>
      </c>
      <c r="H264" s="2">
        <v>14</v>
      </c>
      <c r="I264" s="2">
        <v>88.1</v>
      </c>
      <c r="J264" s="2">
        <v>1.04</v>
      </c>
      <c r="K264" s="2">
        <v>0</v>
      </c>
      <c r="L264" s="2">
        <v>3.1</v>
      </c>
      <c r="M264" s="2">
        <v>561597.32999999996</v>
      </c>
      <c r="N264" s="2">
        <v>75072.75</v>
      </c>
    </row>
    <row r="265" spans="1:14" x14ac:dyDescent="0.45">
      <c r="A265" s="2" t="s">
        <v>129</v>
      </c>
      <c r="B265" s="3">
        <v>45717</v>
      </c>
      <c r="C265" s="2" t="s">
        <v>66</v>
      </c>
      <c r="D265" s="2" t="s">
        <v>57</v>
      </c>
      <c r="E265" s="2">
        <v>47648.71</v>
      </c>
      <c r="F265" s="2">
        <v>5767</v>
      </c>
      <c r="G265" s="2">
        <v>0.14099999999999999</v>
      </c>
      <c r="H265" s="2">
        <v>17</v>
      </c>
      <c r="I265" s="2">
        <v>89.8</v>
      </c>
      <c r="J265" s="2">
        <v>1.76</v>
      </c>
      <c r="K265" s="2">
        <v>0</v>
      </c>
      <c r="L265" s="2">
        <v>3.1</v>
      </c>
      <c r="M265" s="2">
        <v>635837.74</v>
      </c>
      <c r="N265" s="2">
        <v>114740.64</v>
      </c>
    </row>
    <row r="266" spans="1:14" x14ac:dyDescent="0.45">
      <c r="A266" s="2" t="s">
        <v>129</v>
      </c>
      <c r="B266" s="3">
        <v>45748</v>
      </c>
      <c r="C266" s="2" t="s">
        <v>66</v>
      </c>
      <c r="D266" s="2" t="s">
        <v>57</v>
      </c>
      <c r="E266" s="2">
        <v>38297.58</v>
      </c>
      <c r="F266" s="2">
        <v>5893</v>
      </c>
      <c r="G266" s="2">
        <v>0.247</v>
      </c>
      <c r="H266" s="2">
        <v>18</v>
      </c>
      <c r="I266" s="2">
        <v>77.599999999999994</v>
      </c>
      <c r="J266" s="2">
        <v>2.86</v>
      </c>
      <c r="K266" s="2">
        <v>0</v>
      </c>
      <c r="L266" s="2">
        <v>3</v>
      </c>
      <c r="M266" s="2">
        <v>686737.87</v>
      </c>
      <c r="N266" s="2">
        <v>83839.67</v>
      </c>
    </row>
    <row r="267" spans="1:14" x14ac:dyDescent="0.45">
      <c r="A267" s="2" t="s">
        <v>130</v>
      </c>
      <c r="B267" s="3">
        <v>45658</v>
      </c>
      <c r="C267" s="2" t="s">
        <v>63</v>
      </c>
      <c r="D267" s="2" t="s">
        <v>55</v>
      </c>
      <c r="E267" s="2">
        <v>61784.11</v>
      </c>
      <c r="F267" s="2">
        <v>8564</v>
      </c>
      <c r="G267" s="2">
        <v>0.13</v>
      </c>
      <c r="H267" s="2">
        <v>17</v>
      </c>
      <c r="I267" s="2">
        <v>87.4</v>
      </c>
      <c r="J267" s="2">
        <v>18.14</v>
      </c>
      <c r="K267" s="2">
        <v>1</v>
      </c>
      <c r="L267" s="2">
        <v>3.4</v>
      </c>
      <c r="M267" s="2">
        <v>673076.34</v>
      </c>
      <c r="N267" s="2">
        <v>93899.76</v>
      </c>
    </row>
    <row r="268" spans="1:14" x14ac:dyDescent="0.45">
      <c r="A268" s="2" t="s">
        <v>130</v>
      </c>
      <c r="B268" s="3">
        <v>45689</v>
      </c>
      <c r="C268" s="2" t="s">
        <v>63</v>
      </c>
      <c r="D268" s="2" t="s">
        <v>55</v>
      </c>
      <c r="E268" s="2">
        <v>36832.33</v>
      </c>
      <c r="F268" s="2">
        <v>8001</v>
      </c>
      <c r="G268" s="2">
        <v>0</v>
      </c>
      <c r="H268" s="2">
        <v>19</v>
      </c>
      <c r="I268" s="2">
        <v>88.7</v>
      </c>
      <c r="J268" s="2">
        <v>3.39</v>
      </c>
      <c r="K268" s="2">
        <v>0</v>
      </c>
      <c r="L268" s="2">
        <v>4</v>
      </c>
      <c r="M268" s="2">
        <v>738548.42</v>
      </c>
      <c r="N268" s="2">
        <v>134282.76999999999</v>
      </c>
    </row>
    <row r="269" spans="1:14" x14ac:dyDescent="0.45">
      <c r="A269" s="2" t="s">
        <v>130</v>
      </c>
      <c r="B269" s="3">
        <v>45717</v>
      </c>
      <c r="C269" s="2" t="s">
        <v>63</v>
      </c>
      <c r="D269" s="2" t="s">
        <v>55</v>
      </c>
      <c r="E269" s="2">
        <v>48609.41</v>
      </c>
      <c r="F269" s="2">
        <v>9324</v>
      </c>
      <c r="G269" s="2">
        <v>0.21299999999999999</v>
      </c>
      <c r="H269" s="2">
        <v>18</v>
      </c>
      <c r="I269" s="2">
        <v>86.5</v>
      </c>
      <c r="J269" s="2">
        <v>1.44</v>
      </c>
      <c r="K269" s="2">
        <v>0</v>
      </c>
      <c r="L269" s="2">
        <v>3.9</v>
      </c>
      <c r="M269" s="2">
        <v>756619.77</v>
      </c>
      <c r="N269" s="2">
        <v>112057.69</v>
      </c>
    </row>
    <row r="270" spans="1:14" x14ac:dyDescent="0.45">
      <c r="A270" s="2" t="s">
        <v>130</v>
      </c>
      <c r="B270" s="3">
        <v>45748</v>
      </c>
      <c r="C270" s="2" t="s">
        <v>63</v>
      </c>
      <c r="D270" s="2" t="s">
        <v>55</v>
      </c>
      <c r="E270" s="2">
        <v>70284.06</v>
      </c>
      <c r="F270" s="2">
        <v>9109</v>
      </c>
      <c r="G270" s="2">
        <v>4.0000000000000001E-3</v>
      </c>
      <c r="H270" s="2">
        <v>23</v>
      </c>
      <c r="I270" s="2">
        <v>87</v>
      </c>
      <c r="J270" s="2">
        <v>3.65</v>
      </c>
      <c r="K270" s="2">
        <v>0</v>
      </c>
      <c r="L270" s="2">
        <v>3.7</v>
      </c>
      <c r="M270" s="2">
        <v>761122.42</v>
      </c>
      <c r="N270" s="2">
        <v>149802.04</v>
      </c>
    </row>
    <row r="271" spans="1:14" x14ac:dyDescent="0.45">
      <c r="A271" s="2" t="s">
        <v>131</v>
      </c>
      <c r="B271" s="3">
        <v>45658</v>
      </c>
      <c r="C271" s="2" t="s">
        <v>63</v>
      </c>
      <c r="D271" s="2" t="s">
        <v>57</v>
      </c>
      <c r="E271" s="2">
        <v>45940.39</v>
      </c>
      <c r="F271" s="2">
        <v>4022</v>
      </c>
      <c r="G271" s="2">
        <v>6.9000000000000006E-2</v>
      </c>
      <c r="H271" s="2">
        <v>10</v>
      </c>
      <c r="I271" s="2">
        <v>83</v>
      </c>
      <c r="J271" s="2">
        <v>1.23</v>
      </c>
      <c r="K271" s="2">
        <v>1</v>
      </c>
      <c r="L271" s="2">
        <v>3.8</v>
      </c>
      <c r="M271" s="2">
        <v>524899.56999999995</v>
      </c>
      <c r="N271" s="2">
        <v>63619.98</v>
      </c>
    </row>
    <row r="272" spans="1:14" x14ac:dyDescent="0.45">
      <c r="A272" s="2" t="s">
        <v>131</v>
      </c>
      <c r="B272" s="3">
        <v>45689</v>
      </c>
      <c r="C272" s="2" t="s">
        <v>63</v>
      </c>
      <c r="D272" s="2" t="s">
        <v>57</v>
      </c>
      <c r="E272" s="2">
        <v>34771.26</v>
      </c>
      <c r="F272" s="2">
        <v>4355</v>
      </c>
      <c r="G272" s="2">
        <v>5.0999999999999997E-2</v>
      </c>
      <c r="H272" s="2">
        <v>15</v>
      </c>
      <c r="I272" s="2">
        <v>87.9</v>
      </c>
      <c r="J272" s="2">
        <v>3.09</v>
      </c>
      <c r="K272" s="2">
        <v>0</v>
      </c>
      <c r="L272" s="2">
        <v>4</v>
      </c>
      <c r="M272" s="2">
        <v>555557.77</v>
      </c>
      <c r="N272" s="2">
        <v>86475.51</v>
      </c>
    </row>
    <row r="273" spans="1:14" x14ac:dyDescent="0.45">
      <c r="A273" s="2" t="s">
        <v>131</v>
      </c>
      <c r="B273" s="3">
        <v>45717</v>
      </c>
      <c r="C273" s="2" t="s">
        <v>63</v>
      </c>
      <c r="D273" s="2" t="s">
        <v>57</v>
      </c>
      <c r="E273" s="2">
        <v>66104.19</v>
      </c>
      <c r="F273" s="2">
        <v>5745</v>
      </c>
      <c r="G273" s="2">
        <v>7.0000000000000007E-2</v>
      </c>
      <c r="H273" s="2">
        <v>17</v>
      </c>
      <c r="I273" s="2">
        <v>95.8</v>
      </c>
      <c r="J273" s="2">
        <v>3.15</v>
      </c>
      <c r="K273" s="2">
        <v>0</v>
      </c>
      <c r="L273" s="2">
        <v>4</v>
      </c>
      <c r="M273" s="2">
        <v>714083.68</v>
      </c>
      <c r="N273" s="2">
        <v>127231.74</v>
      </c>
    </row>
    <row r="274" spans="1:14" x14ac:dyDescent="0.45">
      <c r="A274" s="2" t="s">
        <v>131</v>
      </c>
      <c r="B274" s="3">
        <v>45748</v>
      </c>
      <c r="C274" s="2" t="s">
        <v>63</v>
      </c>
      <c r="D274" s="2" t="s">
        <v>57</v>
      </c>
      <c r="E274" s="2">
        <v>18599.21</v>
      </c>
      <c r="F274" s="2">
        <v>3027</v>
      </c>
      <c r="G274" s="2">
        <v>0.122</v>
      </c>
      <c r="H274" s="2">
        <v>11</v>
      </c>
      <c r="I274" s="2">
        <v>80.900000000000006</v>
      </c>
      <c r="J274" s="2">
        <v>6.44</v>
      </c>
      <c r="K274" s="2">
        <v>0</v>
      </c>
      <c r="L274" s="2">
        <v>4.2</v>
      </c>
      <c r="M274" s="2">
        <v>497439.82</v>
      </c>
      <c r="N274" s="2">
        <v>93372.75</v>
      </c>
    </row>
    <row r="275" spans="1:14" x14ac:dyDescent="0.45">
      <c r="A275" s="2" t="s">
        <v>132</v>
      </c>
      <c r="B275" s="3">
        <v>45658</v>
      </c>
      <c r="C275" s="2" t="s">
        <v>66</v>
      </c>
      <c r="D275" s="2" t="s">
        <v>55</v>
      </c>
      <c r="E275" s="2">
        <v>60183.06</v>
      </c>
      <c r="F275" s="2">
        <v>5562</v>
      </c>
      <c r="G275" s="2">
        <v>8.9999999999999993E-3</v>
      </c>
      <c r="H275" s="2">
        <v>13</v>
      </c>
      <c r="I275" s="2">
        <v>86.3</v>
      </c>
      <c r="J275" s="2">
        <v>0.2</v>
      </c>
      <c r="K275" s="2">
        <v>1</v>
      </c>
      <c r="L275" s="2">
        <v>4.5</v>
      </c>
      <c r="M275" s="2">
        <v>636775.66</v>
      </c>
      <c r="N275" s="2">
        <v>122636.86</v>
      </c>
    </row>
    <row r="276" spans="1:14" x14ac:dyDescent="0.45">
      <c r="A276" s="2" t="s">
        <v>132</v>
      </c>
      <c r="B276" s="3">
        <v>45689</v>
      </c>
      <c r="C276" s="2" t="s">
        <v>66</v>
      </c>
      <c r="D276" s="2" t="s">
        <v>55</v>
      </c>
      <c r="E276" s="2">
        <v>74539.14</v>
      </c>
      <c r="F276" s="2">
        <v>4487</v>
      </c>
      <c r="G276" s="2">
        <v>0.14000000000000001</v>
      </c>
      <c r="H276" s="2">
        <v>10</v>
      </c>
      <c r="I276" s="2">
        <v>90.4</v>
      </c>
      <c r="J276" s="2">
        <v>0.59</v>
      </c>
      <c r="K276" s="2">
        <v>0</v>
      </c>
      <c r="L276" s="2">
        <v>4.5</v>
      </c>
      <c r="M276" s="2">
        <v>633009.53</v>
      </c>
      <c r="N276" s="2">
        <v>123782.67</v>
      </c>
    </row>
    <row r="277" spans="1:14" x14ac:dyDescent="0.45">
      <c r="A277" s="2" t="s">
        <v>132</v>
      </c>
      <c r="B277" s="3">
        <v>45717</v>
      </c>
      <c r="C277" s="2" t="s">
        <v>66</v>
      </c>
      <c r="D277" s="2" t="s">
        <v>55</v>
      </c>
      <c r="E277" s="2">
        <v>55371.97</v>
      </c>
      <c r="F277" s="2">
        <v>4162</v>
      </c>
      <c r="G277" s="2">
        <v>0.183</v>
      </c>
      <c r="H277" s="2">
        <v>11</v>
      </c>
      <c r="I277" s="2">
        <v>92</v>
      </c>
      <c r="J277" s="2">
        <v>0.2</v>
      </c>
      <c r="K277" s="2">
        <v>1</v>
      </c>
      <c r="L277" s="2">
        <v>4.2</v>
      </c>
      <c r="M277" s="2">
        <v>609949</v>
      </c>
      <c r="N277" s="2">
        <v>126789.25</v>
      </c>
    </row>
    <row r="278" spans="1:14" x14ac:dyDescent="0.45">
      <c r="A278" s="2" t="s">
        <v>132</v>
      </c>
      <c r="B278" s="3">
        <v>45748</v>
      </c>
      <c r="C278" s="2" t="s">
        <v>66</v>
      </c>
      <c r="D278" s="2" t="s">
        <v>55</v>
      </c>
      <c r="E278" s="2">
        <v>40928.69</v>
      </c>
      <c r="F278" s="2">
        <v>4094</v>
      </c>
      <c r="G278" s="2">
        <v>0.17399999999999999</v>
      </c>
      <c r="H278" s="2">
        <v>13</v>
      </c>
      <c r="I278" s="2">
        <v>82.4</v>
      </c>
      <c r="J278" s="2">
        <v>1.36</v>
      </c>
      <c r="K278" s="2">
        <v>0</v>
      </c>
      <c r="L278" s="2">
        <v>4.8</v>
      </c>
      <c r="M278" s="2">
        <v>548103.69999999995</v>
      </c>
      <c r="N278" s="2">
        <v>99905.52</v>
      </c>
    </row>
    <row r="279" spans="1:14" x14ac:dyDescent="0.45">
      <c r="A279" s="2" t="s">
        <v>133</v>
      </c>
      <c r="B279" s="3">
        <v>45658</v>
      </c>
      <c r="C279" s="2" t="s">
        <v>54</v>
      </c>
      <c r="D279" s="2" t="s">
        <v>55</v>
      </c>
      <c r="E279" s="2">
        <v>70012.41</v>
      </c>
      <c r="F279" s="2">
        <v>8484</v>
      </c>
      <c r="G279" s="2">
        <v>0.27300000000000002</v>
      </c>
      <c r="H279" s="2">
        <v>23</v>
      </c>
      <c r="I279" s="2">
        <v>72.900000000000006</v>
      </c>
      <c r="J279" s="2">
        <v>3.34</v>
      </c>
      <c r="K279" s="2">
        <v>0</v>
      </c>
      <c r="L279" s="2">
        <v>3.7</v>
      </c>
      <c r="M279" s="2">
        <v>729424.42</v>
      </c>
      <c r="N279" s="2">
        <v>75592.28</v>
      </c>
    </row>
    <row r="280" spans="1:14" x14ac:dyDescent="0.45">
      <c r="A280" s="2" t="s">
        <v>133</v>
      </c>
      <c r="B280" s="3">
        <v>45689</v>
      </c>
      <c r="C280" s="2" t="s">
        <v>54</v>
      </c>
      <c r="D280" s="2" t="s">
        <v>55</v>
      </c>
      <c r="E280" s="2">
        <v>68909.259999999995</v>
      </c>
      <c r="F280" s="2">
        <v>7794</v>
      </c>
      <c r="G280" s="2">
        <v>0.28399999999999997</v>
      </c>
      <c r="H280" s="2">
        <v>22</v>
      </c>
      <c r="I280" s="2">
        <v>89</v>
      </c>
      <c r="J280" s="2">
        <v>0.33</v>
      </c>
      <c r="K280" s="2">
        <v>0</v>
      </c>
      <c r="L280" s="2">
        <v>4</v>
      </c>
      <c r="M280" s="2">
        <v>696261.49</v>
      </c>
      <c r="N280" s="2">
        <v>72455.350000000006</v>
      </c>
    </row>
    <row r="281" spans="1:14" x14ac:dyDescent="0.45">
      <c r="A281" s="2" t="s">
        <v>133</v>
      </c>
      <c r="B281" s="3">
        <v>45717</v>
      </c>
      <c r="C281" s="2" t="s">
        <v>54</v>
      </c>
      <c r="D281" s="2" t="s">
        <v>55</v>
      </c>
      <c r="E281" s="2">
        <v>56737.3</v>
      </c>
      <c r="F281" s="2">
        <v>8300</v>
      </c>
      <c r="G281" s="2">
        <v>3.2000000000000001E-2</v>
      </c>
      <c r="H281" s="2">
        <v>21</v>
      </c>
      <c r="I281" s="2">
        <v>83.2</v>
      </c>
      <c r="J281" s="2">
        <v>3.44</v>
      </c>
      <c r="K281" s="2">
        <v>1</v>
      </c>
      <c r="L281" s="2">
        <v>4.3</v>
      </c>
      <c r="M281" s="2">
        <v>813316.71</v>
      </c>
      <c r="N281" s="2">
        <v>110077.42</v>
      </c>
    </row>
    <row r="282" spans="1:14" x14ac:dyDescent="0.45">
      <c r="A282" s="2" t="s">
        <v>133</v>
      </c>
      <c r="B282" s="3">
        <v>45748</v>
      </c>
      <c r="C282" s="2" t="s">
        <v>54</v>
      </c>
      <c r="D282" s="2" t="s">
        <v>55</v>
      </c>
      <c r="E282" s="2">
        <v>54080.91</v>
      </c>
      <c r="F282" s="2">
        <v>7083</v>
      </c>
      <c r="G282" s="2">
        <v>0</v>
      </c>
      <c r="H282" s="2">
        <v>15</v>
      </c>
      <c r="I282" s="2">
        <v>97</v>
      </c>
      <c r="J282" s="2">
        <v>5.33</v>
      </c>
      <c r="K282" s="2">
        <v>0</v>
      </c>
      <c r="L282" s="2">
        <v>4.0999999999999996</v>
      </c>
      <c r="M282" s="2">
        <v>702068.92</v>
      </c>
      <c r="N282" s="2">
        <v>111266.63</v>
      </c>
    </row>
    <row r="283" spans="1:14" x14ac:dyDescent="0.45">
      <c r="A283" s="2" t="s">
        <v>134</v>
      </c>
      <c r="B283" s="3">
        <v>45658</v>
      </c>
      <c r="C283" s="2" t="s">
        <v>66</v>
      </c>
      <c r="D283" s="2" t="s">
        <v>57</v>
      </c>
      <c r="E283" s="2">
        <v>51996.32</v>
      </c>
      <c r="F283" s="2">
        <v>3834</v>
      </c>
      <c r="G283" s="2">
        <v>9.6000000000000002E-2</v>
      </c>
      <c r="H283" s="2">
        <v>8</v>
      </c>
      <c r="I283" s="2">
        <v>86.7</v>
      </c>
      <c r="J283" s="2">
        <v>6.04</v>
      </c>
      <c r="K283" s="2">
        <v>0</v>
      </c>
      <c r="L283" s="2">
        <v>4.5</v>
      </c>
      <c r="M283" s="2">
        <v>546223.69999999995</v>
      </c>
      <c r="N283" s="2">
        <v>100769.17</v>
      </c>
    </row>
    <row r="284" spans="1:14" x14ac:dyDescent="0.45">
      <c r="A284" s="2" t="s">
        <v>134</v>
      </c>
      <c r="B284" s="3">
        <v>45689</v>
      </c>
      <c r="C284" s="2" t="s">
        <v>66</v>
      </c>
      <c r="D284" s="2" t="s">
        <v>57</v>
      </c>
      <c r="E284" s="2">
        <v>40102.879999999997</v>
      </c>
      <c r="F284" s="2">
        <v>2358</v>
      </c>
      <c r="G284" s="2">
        <v>0.11899999999999999</v>
      </c>
      <c r="H284" s="2">
        <v>9</v>
      </c>
      <c r="I284" s="2">
        <v>88.7</v>
      </c>
      <c r="J284" s="2">
        <v>1.6</v>
      </c>
      <c r="K284" s="2">
        <v>0</v>
      </c>
      <c r="L284" s="2">
        <v>4.2</v>
      </c>
      <c r="M284" s="2">
        <v>533121.26</v>
      </c>
      <c r="N284" s="2">
        <v>55063.39</v>
      </c>
    </row>
    <row r="285" spans="1:14" x14ac:dyDescent="0.45">
      <c r="A285" s="2" t="s">
        <v>134</v>
      </c>
      <c r="B285" s="3">
        <v>45717</v>
      </c>
      <c r="C285" s="2" t="s">
        <v>66</v>
      </c>
      <c r="D285" s="2" t="s">
        <v>57</v>
      </c>
      <c r="E285" s="2">
        <v>59825.51</v>
      </c>
      <c r="F285" s="2">
        <v>1231</v>
      </c>
      <c r="G285" s="2">
        <v>0.214</v>
      </c>
      <c r="H285" s="2">
        <v>10</v>
      </c>
      <c r="I285" s="2">
        <v>84.8</v>
      </c>
      <c r="J285" s="2">
        <v>8.9600000000000009</v>
      </c>
      <c r="K285" s="2">
        <v>0</v>
      </c>
      <c r="L285" s="2">
        <v>4.7</v>
      </c>
      <c r="M285" s="2">
        <v>498970.32</v>
      </c>
      <c r="N285" s="2">
        <v>69656.7</v>
      </c>
    </row>
    <row r="286" spans="1:14" x14ac:dyDescent="0.45">
      <c r="A286" s="2" t="s">
        <v>134</v>
      </c>
      <c r="B286" s="3">
        <v>45748</v>
      </c>
      <c r="C286" s="2" t="s">
        <v>66</v>
      </c>
      <c r="D286" s="2" t="s">
        <v>57</v>
      </c>
      <c r="E286" s="2">
        <v>27398.28</v>
      </c>
      <c r="F286" s="2">
        <v>1723</v>
      </c>
      <c r="G286" s="2">
        <v>0.17100000000000001</v>
      </c>
      <c r="H286" s="2">
        <v>9</v>
      </c>
      <c r="I286" s="2">
        <v>81</v>
      </c>
      <c r="J286" s="2">
        <v>0.74</v>
      </c>
      <c r="K286" s="2">
        <v>0</v>
      </c>
      <c r="L286" s="2">
        <v>4.5999999999999996</v>
      </c>
      <c r="M286" s="2">
        <v>487738.26</v>
      </c>
      <c r="N286" s="2">
        <v>96435.6</v>
      </c>
    </row>
    <row r="287" spans="1:14" x14ac:dyDescent="0.45">
      <c r="A287" s="2" t="s">
        <v>135</v>
      </c>
      <c r="B287" s="3">
        <v>45658</v>
      </c>
      <c r="C287" s="2" t="s">
        <v>66</v>
      </c>
      <c r="D287" s="2" t="s">
        <v>57</v>
      </c>
      <c r="E287" s="2">
        <v>55599.56</v>
      </c>
      <c r="F287" s="2">
        <v>5896</v>
      </c>
      <c r="G287" s="2">
        <v>3.5999999999999997E-2</v>
      </c>
      <c r="H287" s="2">
        <v>12</v>
      </c>
      <c r="I287" s="2">
        <v>93.1</v>
      </c>
      <c r="J287" s="2">
        <v>6.13</v>
      </c>
      <c r="K287" s="2">
        <v>0</v>
      </c>
      <c r="L287" s="2">
        <v>3.3</v>
      </c>
      <c r="M287" s="2">
        <v>668459.37</v>
      </c>
      <c r="N287" s="2">
        <v>126435.42</v>
      </c>
    </row>
    <row r="288" spans="1:14" x14ac:dyDescent="0.45">
      <c r="A288" s="2" t="s">
        <v>135</v>
      </c>
      <c r="B288" s="3">
        <v>45689</v>
      </c>
      <c r="C288" s="2" t="s">
        <v>66</v>
      </c>
      <c r="D288" s="2" t="s">
        <v>57</v>
      </c>
      <c r="E288" s="2">
        <v>55477.61</v>
      </c>
      <c r="F288" s="2">
        <v>5903</v>
      </c>
      <c r="G288" s="2">
        <v>0.10199999999999999</v>
      </c>
      <c r="H288" s="2">
        <v>14</v>
      </c>
      <c r="I288" s="2">
        <v>96.2</v>
      </c>
      <c r="J288" s="2">
        <v>1.41</v>
      </c>
      <c r="K288" s="2">
        <v>0</v>
      </c>
      <c r="L288" s="2">
        <v>3.3</v>
      </c>
      <c r="M288" s="2">
        <v>763162.45</v>
      </c>
      <c r="N288" s="2">
        <v>162524.04999999999</v>
      </c>
    </row>
    <row r="289" spans="1:14" x14ac:dyDescent="0.45">
      <c r="A289" s="2" t="s">
        <v>135</v>
      </c>
      <c r="B289" s="3">
        <v>45717</v>
      </c>
      <c r="C289" s="2" t="s">
        <v>66</v>
      </c>
      <c r="D289" s="2" t="s">
        <v>57</v>
      </c>
      <c r="E289" s="2">
        <v>46174.7</v>
      </c>
      <c r="F289" s="2">
        <v>4898</v>
      </c>
      <c r="G289" s="2">
        <v>0.114</v>
      </c>
      <c r="H289" s="2">
        <v>11</v>
      </c>
      <c r="I289" s="2">
        <v>91.7</v>
      </c>
      <c r="J289" s="2">
        <v>3.75</v>
      </c>
      <c r="K289" s="2">
        <v>0</v>
      </c>
      <c r="L289" s="2">
        <v>3.1</v>
      </c>
      <c r="M289" s="2">
        <v>599017.32999999996</v>
      </c>
      <c r="N289" s="2">
        <v>134009.92000000001</v>
      </c>
    </row>
    <row r="290" spans="1:14" x14ac:dyDescent="0.45">
      <c r="A290" s="2" t="s">
        <v>135</v>
      </c>
      <c r="B290" s="3">
        <v>45748</v>
      </c>
      <c r="C290" s="2" t="s">
        <v>66</v>
      </c>
      <c r="D290" s="2" t="s">
        <v>57</v>
      </c>
      <c r="E290" s="2">
        <v>24362.98</v>
      </c>
      <c r="F290" s="2">
        <v>1462</v>
      </c>
      <c r="G290" s="2">
        <v>0.11700000000000001</v>
      </c>
      <c r="H290" s="2">
        <v>6</v>
      </c>
      <c r="I290" s="2">
        <v>89.3</v>
      </c>
      <c r="J290" s="2">
        <v>15.06</v>
      </c>
      <c r="K290" s="2">
        <v>0</v>
      </c>
      <c r="L290" s="2">
        <v>3.2</v>
      </c>
      <c r="M290" s="2">
        <v>401582.58</v>
      </c>
      <c r="N290" s="2">
        <v>68454.929999999993</v>
      </c>
    </row>
    <row r="291" spans="1:14" x14ac:dyDescent="0.45">
      <c r="A291" s="2" t="s">
        <v>136</v>
      </c>
      <c r="B291" s="3">
        <v>45658</v>
      </c>
      <c r="C291" s="2" t="s">
        <v>59</v>
      </c>
      <c r="D291" s="2" t="s">
        <v>67</v>
      </c>
      <c r="E291" s="2">
        <v>40647.67</v>
      </c>
      <c r="F291" s="2">
        <v>8252</v>
      </c>
      <c r="G291" s="2">
        <v>0.14099999999999999</v>
      </c>
      <c r="H291" s="2">
        <v>22</v>
      </c>
      <c r="I291" s="2">
        <v>88.2</v>
      </c>
      <c r="J291" s="2">
        <v>5.07</v>
      </c>
      <c r="K291" s="2">
        <v>1</v>
      </c>
      <c r="L291" s="2">
        <v>4.0999999999999996</v>
      </c>
      <c r="M291" s="2">
        <v>703812.99</v>
      </c>
      <c r="N291" s="2">
        <v>133577.98000000001</v>
      </c>
    </row>
    <row r="292" spans="1:14" x14ac:dyDescent="0.45">
      <c r="A292" s="2" t="s">
        <v>136</v>
      </c>
      <c r="B292" s="3">
        <v>45689</v>
      </c>
      <c r="C292" s="2" t="s">
        <v>59</v>
      </c>
      <c r="D292" s="2" t="s">
        <v>67</v>
      </c>
      <c r="E292" s="2">
        <v>63986.98</v>
      </c>
      <c r="F292" s="2">
        <v>7989</v>
      </c>
      <c r="G292" s="2">
        <v>7.3999999999999996E-2</v>
      </c>
      <c r="H292" s="2">
        <v>20</v>
      </c>
      <c r="I292" s="2">
        <v>83.3</v>
      </c>
      <c r="J292" s="2">
        <v>3.6</v>
      </c>
      <c r="K292" s="2">
        <v>0</v>
      </c>
      <c r="L292" s="2">
        <v>3.7</v>
      </c>
      <c r="M292" s="2">
        <v>724346.73</v>
      </c>
      <c r="N292" s="2">
        <v>155013.91</v>
      </c>
    </row>
    <row r="293" spans="1:14" x14ac:dyDescent="0.45">
      <c r="A293" s="2" t="s">
        <v>136</v>
      </c>
      <c r="B293" s="3">
        <v>45717</v>
      </c>
      <c r="C293" s="2" t="s">
        <v>59</v>
      </c>
      <c r="D293" s="2" t="s">
        <v>67</v>
      </c>
      <c r="E293" s="2">
        <v>52843.75</v>
      </c>
      <c r="F293" s="2">
        <v>8268</v>
      </c>
      <c r="G293" s="2">
        <v>0.13800000000000001</v>
      </c>
      <c r="H293" s="2">
        <v>19</v>
      </c>
      <c r="I293" s="2">
        <v>87.3</v>
      </c>
      <c r="J293" s="2">
        <v>4.3899999999999997</v>
      </c>
      <c r="K293" s="2">
        <v>1</v>
      </c>
      <c r="L293" s="2">
        <v>4.7</v>
      </c>
      <c r="M293" s="2">
        <v>730890.01</v>
      </c>
      <c r="N293" s="2">
        <v>105502.56</v>
      </c>
    </row>
    <row r="294" spans="1:14" x14ac:dyDescent="0.45">
      <c r="A294" s="2" t="s">
        <v>136</v>
      </c>
      <c r="B294" s="3">
        <v>45748</v>
      </c>
      <c r="C294" s="2" t="s">
        <v>59</v>
      </c>
      <c r="D294" s="2" t="s">
        <v>67</v>
      </c>
      <c r="E294" s="2">
        <v>31997.25</v>
      </c>
      <c r="F294" s="2">
        <v>8183</v>
      </c>
      <c r="G294" s="2">
        <v>0.19800000000000001</v>
      </c>
      <c r="H294" s="2">
        <v>18</v>
      </c>
      <c r="I294" s="2">
        <v>93</v>
      </c>
      <c r="J294" s="2">
        <v>2.79</v>
      </c>
      <c r="K294" s="2">
        <v>0</v>
      </c>
      <c r="L294" s="2">
        <v>4.2</v>
      </c>
      <c r="M294" s="2">
        <v>780580.95</v>
      </c>
      <c r="N294" s="2">
        <v>138144.46</v>
      </c>
    </row>
    <row r="295" spans="1:14" x14ac:dyDescent="0.45">
      <c r="A295" s="2" t="s">
        <v>137</v>
      </c>
      <c r="B295" s="3">
        <v>45658</v>
      </c>
      <c r="C295" s="2" t="s">
        <v>63</v>
      </c>
      <c r="D295" s="2" t="s">
        <v>55</v>
      </c>
      <c r="E295" s="2">
        <v>54948.02</v>
      </c>
      <c r="F295" s="2">
        <v>6534</v>
      </c>
      <c r="G295" s="2">
        <v>0.183</v>
      </c>
      <c r="H295" s="2">
        <v>14</v>
      </c>
      <c r="I295" s="2">
        <v>94.5</v>
      </c>
      <c r="J295" s="2">
        <v>1.56</v>
      </c>
      <c r="K295" s="2">
        <v>0</v>
      </c>
      <c r="L295" s="2">
        <v>4</v>
      </c>
      <c r="M295" s="2">
        <v>727957.48</v>
      </c>
      <c r="N295" s="2">
        <v>74805.23</v>
      </c>
    </row>
    <row r="296" spans="1:14" x14ac:dyDescent="0.45">
      <c r="A296" s="2" t="s">
        <v>137</v>
      </c>
      <c r="B296" s="3">
        <v>45689</v>
      </c>
      <c r="C296" s="2" t="s">
        <v>63</v>
      </c>
      <c r="D296" s="2" t="s">
        <v>55</v>
      </c>
      <c r="E296" s="2">
        <v>46146.239999999998</v>
      </c>
      <c r="F296" s="2">
        <v>5804</v>
      </c>
      <c r="G296" s="2">
        <v>4.7E-2</v>
      </c>
      <c r="H296" s="2">
        <v>16</v>
      </c>
      <c r="I296" s="2">
        <v>86.9</v>
      </c>
      <c r="J296" s="2">
        <v>15.82</v>
      </c>
      <c r="K296" s="2">
        <v>0</v>
      </c>
      <c r="L296" s="2">
        <v>3.8</v>
      </c>
      <c r="M296" s="2">
        <v>538376</v>
      </c>
      <c r="N296" s="2">
        <v>87605.62</v>
      </c>
    </row>
    <row r="297" spans="1:14" x14ac:dyDescent="0.45">
      <c r="A297" s="2" t="s">
        <v>137</v>
      </c>
      <c r="B297" s="3">
        <v>45717</v>
      </c>
      <c r="C297" s="2" t="s">
        <v>63</v>
      </c>
      <c r="D297" s="2" t="s">
        <v>55</v>
      </c>
      <c r="E297" s="2">
        <v>22387.26</v>
      </c>
      <c r="F297" s="2">
        <v>6301</v>
      </c>
      <c r="G297" s="2">
        <v>0.14599999999999999</v>
      </c>
      <c r="H297" s="2">
        <v>14</v>
      </c>
      <c r="I297" s="2">
        <v>85.9</v>
      </c>
      <c r="J297" s="2">
        <v>1.17</v>
      </c>
      <c r="K297" s="2">
        <v>1</v>
      </c>
      <c r="L297" s="2">
        <v>3.7</v>
      </c>
      <c r="M297" s="2">
        <v>665342.49</v>
      </c>
      <c r="N297" s="2">
        <v>93441.81</v>
      </c>
    </row>
    <row r="298" spans="1:14" x14ac:dyDescent="0.45">
      <c r="A298" s="2" t="s">
        <v>137</v>
      </c>
      <c r="B298" s="3">
        <v>45748</v>
      </c>
      <c r="C298" s="2" t="s">
        <v>63</v>
      </c>
      <c r="D298" s="2" t="s">
        <v>55</v>
      </c>
      <c r="E298" s="2">
        <v>60684.05</v>
      </c>
      <c r="F298" s="2">
        <v>6399</v>
      </c>
      <c r="G298" s="2">
        <v>7.4999999999999997E-2</v>
      </c>
      <c r="H298" s="2">
        <v>16</v>
      </c>
      <c r="I298" s="2">
        <v>99</v>
      </c>
      <c r="J298" s="2">
        <v>3.82</v>
      </c>
      <c r="K298" s="2">
        <v>0</v>
      </c>
      <c r="L298" s="2">
        <v>3.5</v>
      </c>
      <c r="M298" s="2">
        <v>651164.18000000005</v>
      </c>
      <c r="N298" s="2">
        <v>109466.5</v>
      </c>
    </row>
    <row r="299" spans="1:14" x14ac:dyDescent="0.45">
      <c r="A299" s="2" t="s">
        <v>138</v>
      </c>
      <c r="B299" s="3">
        <v>45658</v>
      </c>
      <c r="C299" s="2" t="s">
        <v>63</v>
      </c>
      <c r="D299" s="2" t="s">
        <v>57</v>
      </c>
      <c r="E299" s="2">
        <v>48465.599999999999</v>
      </c>
      <c r="F299" s="2">
        <v>5759</v>
      </c>
      <c r="G299" s="2">
        <v>0.154</v>
      </c>
      <c r="H299" s="2">
        <v>13</v>
      </c>
      <c r="I299" s="2">
        <v>87.5</v>
      </c>
      <c r="J299" s="2">
        <v>4.1399999999999997</v>
      </c>
      <c r="K299" s="2">
        <v>0</v>
      </c>
      <c r="L299" s="2">
        <v>4</v>
      </c>
      <c r="M299" s="2">
        <v>628538.30000000005</v>
      </c>
      <c r="N299" s="2">
        <v>112509.15</v>
      </c>
    </row>
    <row r="300" spans="1:14" x14ac:dyDescent="0.45">
      <c r="A300" s="2" t="s">
        <v>138</v>
      </c>
      <c r="B300" s="3">
        <v>45689</v>
      </c>
      <c r="C300" s="2" t="s">
        <v>63</v>
      </c>
      <c r="D300" s="2" t="s">
        <v>57</v>
      </c>
      <c r="E300" s="2">
        <v>23702.38</v>
      </c>
      <c r="F300" s="2">
        <v>5285</v>
      </c>
      <c r="G300" s="2">
        <v>0.16700000000000001</v>
      </c>
      <c r="H300" s="2">
        <v>14</v>
      </c>
      <c r="I300" s="2">
        <v>79.7</v>
      </c>
      <c r="J300" s="2">
        <v>1.1000000000000001</v>
      </c>
      <c r="K300" s="2">
        <v>0</v>
      </c>
      <c r="L300" s="2">
        <v>4.3</v>
      </c>
      <c r="M300" s="2">
        <v>536524.84</v>
      </c>
      <c r="N300" s="2">
        <v>92752.94</v>
      </c>
    </row>
    <row r="301" spans="1:14" x14ac:dyDescent="0.45">
      <c r="A301" s="2" t="s">
        <v>138</v>
      </c>
      <c r="B301" s="3">
        <v>45717</v>
      </c>
      <c r="C301" s="2" t="s">
        <v>63</v>
      </c>
      <c r="D301" s="2" t="s">
        <v>57</v>
      </c>
      <c r="E301" s="2">
        <v>54322.94</v>
      </c>
      <c r="F301" s="2">
        <v>5434</v>
      </c>
      <c r="G301" s="2">
        <v>0.2</v>
      </c>
      <c r="H301" s="2">
        <v>13</v>
      </c>
      <c r="I301" s="2">
        <v>85.7</v>
      </c>
      <c r="J301" s="2">
        <v>10.6</v>
      </c>
      <c r="K301" s="2">
        <v>0</v>
      </c>
      <c r="L301" s="2">
        <v>4.2</v>
      </c>
      <c r="M301" s="2">
        <v>621677.30000000005</v>
      </c>
      <c r="N301" s="2">
        <v>105192.52</v>
      </c>
    </row>
    <row r="302" spans="1:14" x14ac:dyDescent="0.45">
      <c r="A302" s="2" t="s">
        <v>139</v>
      </c>
      <c r="B302" s="3">
        <v>45658</v>
      </c>
      <c r="C302" s="2" t="s">
        <v>59</v>
      </c>
      <c r="D302" s="2" t="s">
        <v>55</v>
      </c>
      <c r="E302" s="2">
        <v>78967.520000000004</v>
      </c>
      <c r="F302" s="2">
        <v>6164</v>
      </c>
      <c r="G302" s="2">
        <v>2.1000000000000001E-2</v>
      </c>
      <c r="H302" s="2">
        <v>16</v>
      </c>
      <c r="I302" s="2">
        <v>85.5</v>
      </c>
      <c r="J302" s="2">
        <v>0.2</v>
      </c>
      <c r="K302" s="2">
        <v>0</v>
      </c>
      <c r="L302" s="2">
        <v>3.4</v>
      </c>
      <c r="M302" s="2">
        <v>702052.47</v>
      </c>
      <c r="N302" s="2">
        <v>121732.51</v>
      </c>
    </row>
    <row r="303" spans="1:14" x14ac:dyDescent="0.45">
      <c r="A303" s="2" t="s">
        <v>139</v>
      </c>
      <c r="B303" s="3">
        <v>45717</v>
      </c>
      <c r="C303" s="2" t="s">
        <v>59</v>
      </c>
      <c r="D303" s="2" t="s">
        <v>55</v>
      </c>
      <c r="E303" s="2">
        <v>62507.16</v>
      </c>
      <c r="F303" s="2">
        <v>6000</v>
      </c>
      <c r="G303" s="2">
        <v>9.0999999999999998E-2</v>
      </c>
      <c r="H303" s="2">
        <v>14</v>
      </c>
      <c r="I303" s="2">
        <v>98.2</v>
      </c>
      <c r="J303" s="2">
        <v>4.38</v>
      </c>
      <c r="K303" s="2">
        <v>1</v>
      </c>
      <c r="L303" s="2">
        <v>3.9</v>
      </c>
      <c r="M303" s="2">
        <v>712375.77</v>
      </c>
      <c r="N303" s="2">
        <v>104171.53</v>
      </c>
    </row>
    <row r="304" spans="1:14" x14ac:dyDescent="0.45">
      <c r="A304" s="2" t="s">
        <v>139</v>
      </c>
      <c r="B304" s="3">
        <v>45748</v>
      </c>
      <c r="C304" s="2" t="s">
        <v>59</v>
      </c>
      <c r="D304" s="2" t="s">
        <v>55</v>
      </c>
      <c r="E304" s="2">
        <v>66456.28</v>
      </c>
      <c r="F304" s="2">
        <v>9967</v>
      </c>
      <c r="G304" s="2">
        <v>0.108</v>
      </c>
      <c r="H304" s="2">
        <v>20</v>
      </c>
      <c r="I304" s="2">
        <v>94.7</v>
      </c>
      <c r="J304" s="2">
        <v>4.4800000000000004</v>
      </c>
      <c r="K304" s="2">
        <v>0</v>
      </c>
      <c r="L304" s="2">
        <v>4.2</v>
      </c>
      <c r="M304" s="2">
        <v>844710.67</v>
      </c>
      <c r="N304" s="2">
        <v>137140.18</v>
      </c>
    </row>
    <row r="305" spans="1:14" x14ac:dyDescent="0.45">
      <c r="A305" s="2" t="s">
        <v>140</v>
      </c>
      <c r="B305" s="3">
        <v>45658</v>
      </c>
      <c r="C305" s="2" t="s">
        <v>54</v>
      </c>
      <c r="D305" s="2" t="s">
        <v>55</v>
      </c>
      <c r="E305" s="2">
        <v>76614.320000000007</v>
      </c>
      <c r="F305" s="2">
        <v>5639</v>
      </c>
      <c r="G305" s="2">
        <v>0.17399999999999999</v>
      </c>
      <c r="H305" s="2">
        <v>15</v>
      </c>
      <c r="I305" s="2">
        <v>92.9</v>
      </c>
      <c r="J305" s="2">
        <v>1.02</v>
      </c>
      <c r="K305" s="2">
        <v>1</v>
      </c>
      <c r="L305" s="2">
        <v>4</v>
      </c>
      <c r="M305" s="2">
        <v>620264.19999999995</v>
      </c>
      <c r="N305" s="2">
        <v>91365.64</v>
      </c>
    </row>
    <row r="306" spans="1:14" x14ac:dyDescent="0.45">
      <c r="A306" s="2" t="s">
        <v>140</v>
      </c>
      <c r="B306" s="3">
        <v>45689</v>
      </c>
      <c r="C306" s="2" t="s">
        <v>54</v>
      </c>
      <c r="D306" s="2" t="s">
        <v>55</v>
      </c>
      <c r="E306" s="2">
        <v>24088.06</v>
      </c>
      <c r="F306" s="2">
        <v>3466</v>
      </c>
      <c r="G306" s="2">
        <v>0</v>
      </c>
      <c r="H306" s="2">
        <v>11</v>
      </c>
      <c r="I306" s="2">
        <v>88</v>
      </c>
      <c r="J306" s="2">
        <v>0.2</v>
      </c>
      <c r="K306" s="2">
        <v>0</v>
      </c>
      <c r="L306" s="2">
        <v>3.8</v>
      </c>
      <c r="M306" s="2">
        <v>536845.42000000004</v>
      </c>
      <c r="N306" s="2">
        <v>107473.75</v>
      </c>
    </row>
    <row r="307" spans="1:14" x14ac:dyDescent="0.45">
      <c r="A307" s="2" t="s">
        <v>140</v>
      </c>
      <c r="B307" s="3">
        <v>45717</v>
      </c>
      <c r="C307" s="2" t="s">
        <v>54</v>
      </c>
      <c r="D307" s="2" t="s">
        <v>55</v>
      </c>
      <c r="E307" s="2">
        <v>81902.58</v>
      </c>
      <c r="F307" s="2">
        <v>7775</v>
      </c>
      <c r="G307" s="2">
        <v>0.215</v>
      </c>
      <c r="H307" s="2">
        <v>20</v>
      </c>
      <c r="I307" s="2">
        <v>85.2</v>
      </c>
      <c r="J307" s="2">
        <v>4.8899999999999997</v>
      </c>
      <c r="K307" s="2">
        <v>1</v>
      </c>
      <c r="L307" s="2">
        <v>4.2</v>
      </c>
      <c r="M307" s="2">
        <v>726776.22</v>
      </c>
      <c r="N307" s="2">
        <v>90804.49</v>
      </c>
    </row>
    <row r="308" spans="1:14" x14ac:dyDescent="0.45">
      <c r="A308" s="2" t="s">
        <v>140</v>
      </c>
      <c r="B308" s="3">
        <v>45748</v>
      </c>
      <c r="C308" s="2" t="s">
        <v>54</v>
      </c>
      <c r="D308" s="2" t="s">
        <v>55</v>
      </c>
      <c r="E308" s="2">
        <v>40553.11</v>
      </c>
      <c r="F308" s="2">
        <v>5317</v>
      </c>
      <c r="G308" s="2">
        <v>0.16500000000000001</v>
      </c>
      <c r="H308" s="2">
        <v>17</v>
      </c>
      <c r="I308" s="2">
        <v>84.3</v>
      </c>
      <c r="J308" s="2">
        <v>11.82</v>
      </c>
      <c r="K308" s="2">
        <v>0</v>
      </c>
      <c r="L308" s="2">
        <v>4.0999999999999996</v>
      </c>
      <c r="M308" s="2">
        <v>559660.84</v>
      </c>
      <c r="N308" s="2">
        <v>71443.61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9"/>
  <sheetViews>
    <sheetView workbookViewId="0">
      <pane ySplit="3" topLeftCell="A4" activePane="bottomLeft" state="frozen"/>
      <selection pane="bottomLeft" activeCell="F4" sqref="F4"/>
    </sheetView>
  </sheetViews>
  <sheetFormatPr defaultRowHeight="14.25" x14ac:dyDescent="0.45"/>
  <cols>
    <col min="1" max="1" width="12" customWidth="1"/>
    <col min="2" max="2" width="16.59765625" bestFit="1" customWidth="1"/>
    <col min="3" max="4" width="14" customWidth="1"/>
    <col min="5" max="5" width="16" customWidth="1"/>
    <col min="6" max="6" width="12" customWidth="1"/>
  </cols>
  <sheetData>
    <row r="1" spans="1:6" ht="15.4" customHeight="1" x14ac:dyDescent="0.45">
      <c r="A1" s="35" t="s">
        <v>142</v>
      </c>
      <c r="B1" s="36"/>
      <c r="C1" s="36"/>
      <c r="D1" s="36"/>
      <c r="E1" s="36"/>
      <c r="F1" s="36"/>
    </row>
    <row r="2" spans="1:6" ht="18" customHeight="1" x14ac:dyDescent="0.45">
      <c r="A2" s="4" t="s">
        <v>143</v>
      </c>
    </row>
    <row r="3" spans="1:6" ht="30" customHeight="1" x14ac:dyDescent="0.45">
      <c r="A3" s="1" t="s">
        <v>39</v>
      </c>
      <c r="B3" s="1" t="s">
        <v>40</v>
      </c>
      <c r="C3" s="1" t="s">
        <v>42</v>
      </c>
      <c r="D3" s="1" t="s">
        <v>144</v>
      </c>
      <c r="E3" s="1" t="s">
        <v>145</v>
      </c>
      <c r="F3" s="1" t="s">
        <v>146</v>
      </c>
    </row>
    <row r="4" spans="1:6" x14ac:dyDescent="0.45">
      <c r="A4" s="5" t="str">
        <f>'2_Cleaned_Data'!A3</f>
        <v>STR-1001</v>
      </c>
      <c r="B4" s="18">
        <f>'2_Cleaned_Data'!B3</f>
        <v>45658</v>
      </c>
      <c r="C4" s="5" t="str">
        <f>'2_Cleaned_Data'!D3</f>
        <v>Residential</v>
      </c>
      <c r="D4" s="6">
        <f>IF('2_Cleaned_Data'!D3="Airport",1,0)</f>
        <v>0</v>
      </c>
      <c r="E4" s="6">
        <f>IF('2_Cleaned_Data'!D3="High Street",1,0)</f>
        <v>0</v>
      </c>
      <c r="F4" s="6">
        <f>IF('2_Cleaned_Data'!D3="Mall",1,0)</f>
        <v>0</v>
      </c>
    </row>
    <row r="5" spans="1:6" x14ac:dyDescent="0.45">
      <c r="A5" s="5" t="str">
        <f>'2_Cleaned_Data'!A4</f>
        <v>STR-1001</v>
      </c>
      <c r="B5" s="18">
        <f>'2_Cleaned_Data'!B4</f>
        <v>45689</v>
      </c>
      <c r="C5" s="5" t="str">
        <f>'2_Cleaned_Data'!D4</f>
        <v>Residential</v>
      </c>
      <c r="D5" s="6">
        <f>IF('2_Cleaned_Data'!D4="Airport",1,0)</f>
        <v>0</v>
      </c>
      <c r="E5" s="6">
        <f>IF('2_Cleaned_Data'!D4="High Street",1,0)</f>
        <v>0</v>
      </c>
      <c r="F5" s="6">
        <f>IF('2_Cleaned_Data'!D4="Mall",1,0)</f>
        <v>0</v>
      </c>
    </row>
    <row r="6" spans="1:6" x14ac:dyDescent="0.45">
      <c r="A6" s="5" t="str">
        <f>'2_Cleaned_Data'!A5</f>
        <v>STR-1001</v>
      </c>
      <c r="B6" s="18">
        <f>'2_Cleaned_Data'!B5</f>
        <v>45717</v>
      </c>
      <c r="C6" s="5" t="str">
        <f>'2_Cleaned_Data'!D5</f>
        <v>Residential</v>
      </c>
      <c r="D6" s="6">
        <f>IF('2_Cleaned_Data'!D5="Airport",1,0)</f>
        <v>0</v>
      </c>
      <c r="E6" s="6">
        <f>IF('2_Cleaned_Data'!D5="High Street",1,0)</f>
        <v>0</v>
      </c>
      <c r="F6" s="6">
        <f>IF('2_Cleaned_Data'!D5="Mall",1,0)</f>
        <v>0</v>
      </c>
    </row>
    <row r="7" spans="1:6" x14ac:dyDescent="0.45">
      <c r="A7" s="5" t="str">
        <f>'2_Cleaned_Data'!A6</f>
        <v>STR-1001</v>
      </c>
      <c r="B7" s="18">
        <f>'2_Cleaned_Data'!B6</f>
        <v>45748</v>
      </c>
      <c r="C7" s="5" t="str">
        <f>'2_Cleaned_Data'!D6</f>
        <v>Residential</v>
      </c>
      <c r="D7" s="6">
        <f>IF('2_Cleaned_Data'!D6="Airport",1,0)</f>
        <v>0</v>
      </c>
      <c r="E7" s="6">
        <f>IF('2_Cleaned_Data'!D6="High Street",1,0)</f>
        <v>0</v>
      </c>
      <c r="F7" s="6">
        <f>IF('2_Cleaned_Data'!D6="Mall",1,0)</f>
        <v>0</v>
      </c>
    </row>
    <row r="8" spans="1:6" x14ac:dyDescent="0.45">
      <c r="A8" s="5" t="str">
        <f>'2_Cleaned_Data'!A7</f>
        <v>STR-1002</v>
      </c>
      <c r="B8" s="18">
        <f>'2_Cleaned_Data'!B7</f>
        <v>45658</v>
      </c>
      <c r="C8" s="5" t="str">
        <f>'2_Cleaned_Data'!D7</f>
        <v>High Street</v>
      </c>
      <c r="D8" s="6">
        <f>IF('2_Cleaned_Data'!D7="Airport",1,0)</f>
        <v>0</v>
      </c>
      <c r="E8" s="6">
        <f>IF('2_Cleaned_Data'!D7="High Street",1,0)</f>
        <v>1</v>
      </c>
      <c r="F8" s="6">
        <f>IF('2_Cleaned_Data'!D7="Mall",1,0)</f>
        <v>0</v>
      </c>
    </row>
    <row r="9" spans="1:6" x14ac:dyDescent="0.45">
      <c r="A9" s="5" t="str">
        <f>'2_Cleaned_Data'!A8</f>
        <v>STR-1002</v>
      </c>
      <c r="B9" s="18">
        <f>'2_Cleaned_Data'!B8</f>
        <v>45689</v>
      </c>
      <c r="C9" s="5" t="str">
        <f>'2_Cleaned_Data'!D8</f>
        <v>High Street</v>
      </c>
      <c r="D9" s="6">
        <f>IF('2_Cleaned_Data'!D8="Airport",1,0)</f>
        <v>0</v>
      </c>
      <c r="E9" s="6">
        <f>IF('2_Cleaned_Data'!D8="High Street",1,0)</f>
        <v>1</v>
      </c>
      <c r="F9" s="6">
        <f>IF('2_Cleaned_Data'!D8="Mall",1,0)</f>
        <v>0</v>
      </c>
    </row>
    <row r="10" spans="1:6" x14ac:dyDescent="0.45">
      <c r="A10" s="5" t="str">
        <f>'2_Cleaned_Data'!A9</f>
        <v>STR-1002</v>
      </c>
      <c r="B10" s="18">
        <f>'2_Cleaned_Data'!B9</f>
        <v>45717</v>
      </c>
      <c r="C10" s="5" t="str">
        <f>'2_Cleaned_Data'!D9</f>
        <v>High Street</v>
      </c>
      <c r="D10" s="6">
        <f>IF('2_Cleaned_Data'!D9="Airport",1,0)</f>
        <v>0</v>
      </c>
      <c r="E10" s="6">
        <f>IF('2_Cleaned_Data'!D9="High Street",1,0)</f>
        <v>1</v>
      </c>
      <c r="F10" s="6">
        <f>IF('2_Cleaned_Data'!D9="Mall",1,0)</f>
        <v>0</v>
      </c>
    </row>
    <row r="11" spans="1:6" x14ac:dyDescent="0.45">
      <c r="A11" s="5" t="str">
        <f>'2_Cleaned_Data'!A10</f>
        <v>STR-1002</v>
      </c>
      <c r="B11" s="18">
        <f>'2_Cleaned_Data'!B10</f>
        <v>45748</v>
      </c>
      <c r="C11" s="5" t="str">
        <f>'2_Cleaned_Data'!D10</f>
        <v>High Street</v>
      </c>
      <c r="D11" s="6">
        <f>IF('2_Cleaned_Data'!D10="Airport",1,0)</f>
        <v>0</v>
      </c>
      <c r="E11" s="6">
        <f>IF('2_Cleaned_Data'!D10="High Street",1,0)</f>
        <v>1</v>
      </c>
      <c r="F11" s="6">
        <f>IF('2_Cleaned_Data'!D10="Mall",1,0)</f>
        <v>0</v>
      </c>
    </row>
    <row r="12" spans="1:6" x14ac:dyDescent="0.45">
      <c r="A12" s="5" t="str">
        <f>'2_Cleaned_Data'!A11</f>
        <v>STR-1003</v>
      </c>
      <c r="B12" s="18">
        <f>'2_Cleaned_Data'!B11</f>
        <v>45658</v>
      </c>
      <c r="C12" s="5" t="str">
        <f>'2_Cleaned_Data'!D11</f>
        <v>Airport</v>
      </c>
      <c r="D12" s="6">
        <f>IF('2_Cleaned_Data'!D11="Airport",1,0)</f>
        <v>1</v>
      </c>
      <c r="E12" s="6">
        <f>IF('2_Cleaned_Data'!D11="High Street",1,0)</f>
        <v>0</v>
      </c>
      <c r="F12" s="6">
        <f>IF('2_Cleaned_Data'!D11="Mall",1,0)</f>
        <v>0</v>
      </c>
    </row>
    <row r="13" spans="1:6" x14ac:dyDescent="0.45">
      <c r="A13" s="5" t="str">
        <f>'2_Cleaned_Data'!A12</f>
        <v>STR-1003</v>
      </c>
      <c r="B13" s="18">
        <f>'2_Cleaned_Data'!B12</f>
        <v>45689</v>
      </c>
      <c r="C13" s="5" t="str">
        <f>'2_Cleaned_Data'!D12</f>
        <v>Airport</v>
      </c>
      <c r="D13" s="6">
        <f>IF('2_Cleaned_Data'!D12="Airport",1,0)</f>
        <v>1</v>
      </c>
      <c r="E13" s="6">
        <f>IF('2_Cleaned_Data'!D12="High Street",1,0)</f>
        <v>0</v>
      </c>
      <c r="F13" s="6">
        <f>IF('2_Cleaned_Data'!D12="Mall",1,0)</f>
        <v>0</v>
      </c>
    </row>
    <row r="14" spans="1:6" x14ac:dyDescent="0.45">
      <c r="A14" s="5" t="str">
        <f>'2_Cleaned_Data'!A13</f>
        <v>STR-1003</v>
      </c>
      <c r="B14" s="18">
        <f>'2_Cleaned_Data'!B13</f>
        <v>45717</v>
      </c>
      <c r="C14" s="5" t="str">
        <f>'2_Cleaned_Data'!D13</f>
        <v>Airport</v>
      </c>
      <c r="D14" s="6">
        <f>IF('2_Cleaned_Data'!D13="Airport",1,0)</f>
        <v>1</v>
      </c>
      <c r="E14" s="6">
        <f>IF('2_Cleaned_Data'!D13="High Street",1,0)</f>
        <v>0</v>
      </c>
      <c r="F14" s="6">
        <f>IF('2_Cleaned_Data'!D13="Mall",1,0)</f>
        <v>0</v>
      </c>
    </row>
    <row r="15" spans="1:6" x14ac:dyDescent="0.45">
      <c r="A15" s="5" t="str">
        <f>'2_Cleaned_Data'!A14</f>
        <v>STR-1003</v>
      </c>
      <c r="B15" s="18">
        <f>'2_Cleaned_Data'!B14</f>
        <v>45748</v>
      </c>
      <c r="C15" s="5" t="str">
        <f>'2_Cleaned_Data'!D14</f>
        <v>Airport</v>
      </c>
      <c r="D15" s="6">
        <f>IF('2_Cleaned_Data'!D14="Airport",1,0)</f>
        <v>1</v>
      </c>
      <c r="E15" s="6">
        <f>IF('2_Cleaned_Data'!D14="High Street",1,0)</f>
        <v>0</v>
      </c>
      <c r="F15" s="6">
        <f>IF('2_Cleaned_Data'!D14="Mall",1,0)</f>
        <v>0</v>
      </c>
    </row>
    <row r="16" spans="1:6" x14ac:dyDescent="0.45">
      <c r="A16" s="5" t="str">
        <f>'2_Cleaned_Data'!A15</f>
        <v>STR-1004</v>
      </c>
      <c r="B16" s="18">
        <f>'2_Cleaned_Data'!B15</f>
        <v>45658</v>
      </c>
      <c r="C16" s="5" t="str">
        <f>'2_Cleaned_Data'!D15</f>
        <v>Residential</v>
      </c>
      <c r="D16" s="6">
        <f>IF('2_Cleaned_Data'!D15="Airport",1,0)</f>
        <v>0</v>
      </c>
      <c r="E16" s="6">
        <f>IF('2_Cleaned_Data'!D15="High Street",1,0)</f>
        <v>0</v>
      </c>
      <c r="F16" s="6">
        <f>IF('2_Cleaned_Data'!D15="Mall",1,0)</f>
        <v>0</v>
      </c>
    </row>
    <row r="17" spans="1:6" x14ac:dyDescent="0.45">
      <c r="A17" s="5" t="str">
        <f>'2_Cleaned_Data'!A16</f>
        <v>STR-1004</v>
      </c>
      <c r="B17" s="18">
        <f>'2_Cleaned_Data'!B16</f>
        <v>45689</v>
      </c>
      <c r="C17" s="5" t="str">
        <f>'2_Cleaned_Data'!D16</f>
        <v>Residential</v>
      </c>
      <c r="D17" s="6">
        <f>IF('2_Cleaned_Data'!D16="Airport",1,0)</f>
        <v>0</v>
      </c>
      <c r="E17" s="6">
        <f>IF('2_Cleaned_Data'!D16="High Street",1,0)</f>
        <v>0</v>
      </c>
      <c r="F17" s="6">
        <f>IF('2_Cleaned_Data'!D16="Mall",1,0)</f>
        <v>0</v>
      </c>
    </row>
    <row r="18" spans="1:6" x14ac:dyDescent="0.45">
      <c r="A18" s="5" t="str">
        <f>'2_Cleaned_Data'!A17</f>
        <v>STR-1004</v>
      </c>
      <c r="B18" s="18">
        <f>'2_Cleaned_Data'!B17</f>
        <v>45717</v>
      </c>
      <c r="C18" s="5" t="str">
        <f>'2_Cleaned_Data'!D17</f>
        <v>Residential</v>
      </c>
      <c r="D18" s="6">
        <f>IF('2_Cleaned_Data'!D17="Airport",1,0)</f>
        <v>0</v>
      </c>
      <c r="E18" s="6">
        <f>IF('2_Cleaned_Data'!D17="High Street",1,0)</f>
        <v>0</v>
      </c>
      <c r="F18" s="6">
        <f>IF('2_Cleaned_Data'!D17="Mall",1,0)</f>
        <v>0</v>
      </c>
    </row>
    <row r="19" spans="1:6" x14ac:dyDescent="0.45">
      <c r="A19" s="5" t="str">
        <f>'2_Cleaned_Data'!A18</f>
        <v>STR-1004</v>
      </c>
      <c r="B19" s="18">
        <f>'2_Cleaned_Data'!B18</f>
        <v>45748</v>
      </c>
      <c r="C19" s="5" t="str">
        <f>'2_Cleaned_Data'!D18</f>
        <v>Residential</v>
      </c>
      <c r="D19" s="6">
        <f>IF('2_Cleaned_Data'!D18="Airport",1,0)</f>
        <v>0</v>
      </c>
      <c r="E19" s="6">
        <f>IF('2_Cleaned_Data'!D18="High Street",1,0)</f>
        <v>0</v>
      </c>
      <c r="F19" s="6">
        <f>IF('2_Cleaned_Data'!D18="Mall",1,0)</f>
        <v>0</v>
      </c>
    </row>
    <row r="20" spans="1:6" x14ac:dyDescent="0.45">
      <c r="A20" s="5" t="str">
        <f>'2_Cleaned_Data'!A19</f>
        <v>STR-1005</v>
      </c>
      <c r="B20" s="18">
        <f>'2_Cleaned_Data'!B19</f>
        <v>45658</v>
      </c>
      <c r="C20" s="5" t="str">
        <f>'2_Cleaned_Data'!D19</f>
        <v>Residential</v>
      </c>
      <c r="D20" s="6">
        <f>IF('2_Cleaned_Data'!D19="Airport",1,0)</f>
        <v>0</v>
      </c>
      <c r="E20" s="6">
        <f>IF('2_Cleaned_Data'!D19="High Street",1,0)</f>
        <v>0</v>
      </c>
      <c r="F20" s="6">
        <f>IF('2_Cleaned_Data'!D19="Mall",1,0)</f>
        <v>0</v>
      </c>
    </row>
    <row r="21" spans="1:6" x14ac:dyDescent="0.45">
      <c r="A21" s="5" t="str">
        <f>'2_Cleaned_Data'!A20</f>
        <v>STR-1005</v>
      </c>
      <c r="B21" s="18">
        <f>'2_Cleaned_Data'!B20</f>
        <v>45689</v>
      </c>
      <c r="C21" s="5" t="str">
        <f>'2_Cleaned_Data'!D20</f>
        <v>Residential</v>
      </c>
      <c r="D21" s="6">
        <f>IF('2_Cleaned_Data'!D20="Airport",1,0)</f>
        <v>0</v>
      </c>
      <c r="E21" s="6">
        <f>IF('2_Cleaned_Data'!D20="High Street",1,0)</f>
        <v>0</v>
      </c>
      <c r="F21" s="6">
        <f>IF('2_Cleaned_Data'!D20="Mall",1,0)</f>
        <v>0</v>
      </c>
    </row>
    <row r="22" spans="1:6" x14ac:dyDescent="0.45">
      <c r="A22" s="5" t="str">
        <f>'2_Cleaned_Data'!A21</f>
        <v>STR-1005</v>
      </c>
      <c r="B22" s="18">
        <f>'2_Cleaned_Data'!B21</f>
        <v>45717</v>
      </c>
      <c r="C22" s="5" t="str">
        <f>'2_Cleaned_Data'!D21</f>
        <v>Residential</v>
      </c>
      <c r="D22" s="6">
        <f>IF('2_Cleaned_Data'!D21="Airport",1,0)</f>
        <v>0</v>
      </c>
      <c r="E22" s="6">
        <f>IF('2_Cleaned_Data'!D21="High Street",1,0)</f>
        <v>0</v>
      </c>
      <c r="F22" s="6">
        <f>IF('2_Cleaned_Data'!D21="Mall",1,0)</f>
        <v>0</v>
      </c>
    </row>
    <row r="23" spans="1:6" x14ac:dyDescent="0.45">
      <c r="A23" s="5" t="str">
        <f>'2_Cleaned_Data'!A22</f>
        <v>STR-1005</v>
      </c>
      <c r="B23" s="18">
        <f>'2_Cleaned_Data'!B22</f>
        <v>45748</v>
      </c>
      <c r="C23" s="5" t="str">
        <f>'2_Cleaned_Data'!D22</f>
        <v>Residential</v>
      </c>
      <c r="D23" s="6">
        <f>IF('2_Cleaned_Data'!D22="Airport",1,0)</f>
        <v>0</v>
      </c>
      <c r="E23" s="6">
        <f>IF('2_Cleaned_Data'!D22="High Street",1,0)</f>
        <v>0</v>
      </c>
      <c r="F23" s="6">
        <f>IF('2_Cleaned_Data'!D22="Mall",1,0)</f>
        <v>0</v>
      </c>
    </row>
    <row r="24" spans="1:6" x14ac:dyDescent="0.45">
      <c r="A24" s="5" t="str">
        <f>'2_Cleaned_Data'!A23</f>
        <v>STR-1006</v>
      </c>
      <c r="B24" s="18">
        <f>'2_Cleaned_Data'!B23</f>
        <v>45658</v>
      </c>
      <c r="C24" s="5" t="str">
        <f>'2_Cleaned_Data'!D23</f>
        <v>Residential</v>
      </c>
      <c r="D24" s="6">
        <f>IF('2_Cleaned_Data'!D23="Airport",1,0)</f>
        <v>0</v>
      </c>
      <c r="E24" s="6">
        <f>IF('2_Cleaned_Data'!D23="High Street",1,0)</f>
        <v>0</v>
      </c>
      <c r="F24" s="6">
        <f>IF('2_Cleaned_Data'!D23="Mall",1,0)</f>
        <v>0</v>
      </c>
    </row>
    <row r="25" spans="1:6" x14ac:dyDescent="0.45">
      <c r="A25" s="5" t="str">
        <f>'2_Cleaned_Data'!A24</f>
        <v>STR-1006</v>
      </c>
      <c r="B25" s="18">
        <f>'2_Cleaned_Data'!B24</f>
        <v>45689</v>
      </c>
      <c r="C25" s="5" t="str">
        <f>'2_Cleaned_Data'!D24</f>
        <v>Residential</v>
      </c>
      <c r="D25" s="6">
        <f>IF('2_Cleaned_Data'!D24="Airport",1,0)</f>
        <v>0</v>
      </c>
      <c r="E25" s="6">
        <f>IF('2_Cleaned_Data'!D24="High Street",1,0)</f>
        <v>0</v>
      </c>
      <c r="F25" s="6">
        <f>IF('2_Cleaned_Data'!D24="Mall",1,0)</f>
        <v>0</v>
      </c>
    </row>
    <row r="26" spans="1:6" x14ac:dyDescent="0.45">
      <c r="A26" s="5" t="str">
        <f>'2_Cleaned_Data'!A25</f>
        <v>STR-1006</v>
      </c>
      <c r="B26" s="18">
        <f>'2_Cleaned_Data'!B25</f>
        <v>45717</v>
      </c>
      <c r="C26" s="5" t="str">
        <f>'2_Cleaned_Data'!D25</f>
        <v>Residential</v>
      </c>
      <c r="D26" s="6">
        <f>IF('2_Cleaned_Data'!D25="Airport",1,0)</f>
        <v>0</v>
      </c>
      <c r="E26" s="6">
        <f>IF('2_Cleaned_Data'!D25="High Street",1,0)</f>
        <v>0</v>
      </c>
      <c r="F26" s="6">
        <f>IF('2_Cleaned_Data'!D25="Mall",1,0)</f>
        <v>0</v>
      </c>
    </row>
    <row r="27" spans="1:6" x14ac:dyDescent="0.45">
      <c r="A27" s="5" t="str">
        <f>'2_Cleaned_Data'!A26</f>
        <v>STR-1006</v>
      </c>
      <c r="B27" s="18">
        <f>'2_Cleaned_Data'!B26</f>
        <v>45748</v>
      </c>
      <c r="C27" s="5" t="str">
        <f>'2_Cleaned_Data'!D26</f>
        <v>Residential</v>
      </c>
      <c r="D27" s="6">
        <f>IF('2_Cleaned_Data'!D26="Airport",1,0)</f>
        <v>0</v>
      </c>
      <c r="E27" s="6">
        <f>IF('2_Cleaned_Data'!D26="High Street",1,0)</f>
        <v>0</v>
      </c>
      <c r="F27" s="6">
        <f>IF('2_Cleaned_Data'!D26="Mall",1,0)</f>
        <v>0</v>
      </c>
    </row>
    <row r="28" spans="1:6" x14ac:dyDescent="0.45">
      <c r="A28" s="5" t="str">
        <f>'2_Cleaned_Data'!A27</f>
        <v>STR-1007</v>
      </c>
      <c r="B28" s="18">
        <f>'2_Cleaned_Data'!B27</f>
        <v>45658</v>
      </c>
      <c r="C28" s="5" t="str">
        <f>'2_Cleaned_Data'!D27</f>
        <v>Mall</v>
      </c>
      <c r="D28" s="6">
        <f>IF('2_Cleaned_Data'!D27="Airport",1,0)</f>
        <v>0</v>
      </c>
      <c r="E28" s="6">
        <f>IF('2_Cleaned_Data'!D27="High Street",1,0)</f>
        <v>0</v>
      </c>
      <c r="F28" s="6">
        <f>IF('2_Cleaned_Data'!D27="Mall",1,0)</f>
        <v>1</v>
      </c>
    </row>
    <row r="29" spans="1:6" x14ac:dyDescent="0.45">
      <c r="A29" s="5" t="str">
        <f>'2_Cleaned_Data'!A28</f>
        <v>STR-1007</v>
      </c>
      <c r="B29" s="18">
        <f>'2_Cleaned_Data'!B28</f>
        <v>45689</v>
      </c>
      <c r="C29" s="5" t="str">
        <f>'2_Cleaned_Data'!D28</f>
        <v>Mall</v>
      </c>
      <c r="D29" s="6">
        <f>IF('2_Cleaned_Data'!D28="Airport",1,0)</f>
        <v>0</v>
      </c>
      <c r="E29" s="6">
        <f>IF('2_Cleaned_Data'!D28="High Street",1,0)</f>
        <v>0</v>
      </c>
      <c r="F29" s="6">
        <f>IF('2_Cleaned_Data'!D28="Mall",1,0)</f>
        <v>1</v>
      </c>
    </row>
    <row r="30" spans="1:6" x14ac:dyDescent="0.45">
      <c r="A30" s="5" t="str">
        <f>'2_Cleaned_Data'!A29</f>
        <v>STR-1007</v>
      </c>
      <c r="B30" s="18">
        <f>'2_Cleaned_Data'!B29</f>
        <v>45717</v>
      </c>
      <c r="C30" s="5" t="str">
        <f>'2_Cleaned_Data'!D29</f>
        <v>Mall</v>
      </c>
      <c r="D30" s="6">
        <f>IF('2_Cleaned_Data'!D29="Airport",1,0)</f>
        <v>0</v>
      </c>
      <c r="E30" s="6">
        <f>IF('2_Cleaned_Data'!D29="High Street",1,0)</f>
        <v>0</v>
      </c>
      <c r="F30" s="6">
        <f>IF('2_Cleaned_Data'!D29="Mall",1,0)</f>
        <v>1</v>
      </c>
    </row>
    <row r="31" spans="1:6" x14ac:dyDescent="0.45">
      <c r="A31" s="5" t="str">
        <f>'2_Cleaned_Data'!A30</f>
        <v>STR-1007</v>
      </c>
      <c r="B31" s="18">
        <f>'2_Cleaned_Data'!B30</f>
        <v>45748</v>
      </c>
      <c r="C31" s="5" t="str">
        <f>'2_Cleaned_Data'!D30</f>
        <v>Mall</v>
      </c>
      <c r="D31" s="6">
        <f>IF('2_Cleaned_Data'!D30="Airport",1,0)</f>
        <v>0</v>
      </c>
      <c r="E31" s="6">
        <f>IF('2_Cleaned_Data'!D30="High Street",1,0)</f>
        <v>0</v>
      </c>
      <c r="F31" s="6">
        <f>IF('2_Cleaned_Data'!D30="Mall",1,0)</f>
        <v>1</v>
      </c>
    </row>
    <row r="32" spans="1:6" x14ac:dyDescent="0.45">
      <c r="A32" s="5" t="str">
        <f>'2_Cleaned_Data'!A31</f>
        <v>STR-1008</v>
      </c>
      <c r="B32" s="18">
        <f>'2_Cleaned_Data'!B31</f>
        <v>45658</v>
      </c>
      <c r="C32" s="5" t="str">
        <f>'2_Cleaned_Data'!D31</f>
        <v>Residential</v>
      </c>
      <c r="D32" s="6">
        <f>IF('2_Cleaned_Data'!D31="Airport",1,0)</f>
        <v>0</v>
      </c>
      <c r="E32" s="6">
        <f>IF('2_Cleaned_Data'!D31="High Street",1,0)</f>
        <v>0</v>
      </c>
      <c r="F32" s="6">
        <f>IF('2_Cleaned_Data'!D31="Mall",1,0)</f>
        <v>0</v>
      </c>
    </row>
    <row r="33" spans="1:6" x14ac:dyDescent="0.45">
      <c r="A33" s="5" t="str">
        <f>'2_Cleaned_Data'!A32</f>
        <v>STR-1008</v>
      </c>
      <c r="B33" s="18">
        <f>'2_Cleaned_Data'!B32</f>
        <v>45689</v>
      </c>
      <c r="C33" s="5" t="str">
        <f>'2_Cleaned_Data'!D32</f>
        <v>Residential</v>
      </c>
      <c r="D33" s="6">
        <f>IF('2_Cleaned_Data'!D32="Airport",1,0)</f>
        <v>0</v>
      </c>
      <c r="E33" s="6">
        <f>IF('2_Cleaned_Data'!D32="High Street",1,0)</f>
        <v>0</v>
      </c>
      <c r="F33" s="6">
        <f>IF('2_Cleaned_Data'!D32="Mall",1,0)</f>
        <v>0</v>
      </c>
    </row>
    <row r="34" spans="1:6" x14ac:dyDescent="0.45">
      <c r="A34" s="5" t="str">
        <f>'2_Cleaned_Data'!A33</f>
        <v>STR-1008</v>
      </c>
      <c r="B34" s="18">
        <f>'2_Cleaned_Data'!B33</f>
        <v>45717</v>
      </c>
      <c r="C34" s="5" t="str">
        <f>'2_Cleaned_Data'!D33</f>
        <v>Residential</v>
      </c>
      <c r="D34" s="6">
        <f>IF('2_Cleaned_Data'!D33="Airport",1,0)</f>
        <v>0</v>
      </c>
      <c r="E34" s="6">
        <f>IF('2_Cleaned_Data'!D33="High Street",1,0)</f>
        <v>0</v>
      </c>
      <c r="F34" s="6">
        <f>IF('2_Cleaned_Data'!D33="Mall",1,0)</f>
        <v>0</v>
      </c>
    </row>
    <row r="35" spans="1:6" x14ac:dyDescent="0.45">
      <c r="A35" s="5" t="str">
        <f>'2_Cleaned_Data'!A34</f>
        <v>STR-1008</v>
      </c>
      <c r="B35" s="18">
        <f>'2_Cleaned_Data'!B34</f>
        <v>45748</v>
      </c>
      <c r="C35" s="5" t="str">
        <f>'2_Cleaned_Data'!D34</f>
        <v>Residential</v>
      </c>
      <c r="D35" s="6">
        <f>IF('2_Cleaned_Data'!D34="Airport",1,0)</f>
        <v>0</v>
      </c>
      <c r="E35" s="6">
        <f>IF('2_Cleaned_Data'!D34="High Street",1,0)</f>
        <v>0</v>
      </c>
      <c r="F35" s="6">
        <f>IF('2_Cleaned_Data'!D34="Mall",1,0)</f>
        <v>0</v>
      </c>
    </row>
    <row r="36" spans="1:6" x14ac:dyDescent="0.45">
      <c r="A36" s="5" t="str">
        <f>'2_Cleaned_Data'!A35</f>
        <v>STR-1009</v>
      </c>
      <c r="B36" s="18">
        <f>'2_Cleaned_Data'!B35</f>
        <v>45658</v>
      </c>
      <c r="C36" s="5" t="str">
        <f>'2_Cleaned_Data'!D35</f>
        <v>Residential</v>
      </c>
      <c r="D36" s="6">
        <f>IF('2_Cleaned_Data'!D35="Airport",1,0)</f>
        <v>0</v>
      </c>
      <c r="E36" s="6">
        <f>IF('2_Cleaned_Data'!D35="High Street",1,0)</f>
        <v>0</v>
      </c>
      <c r="F36" s="6">
        <f>IF('2_Cleaned_Data'!D35="Mall",1,0)</f>
        <v>0</v>
      </c>
    </row>
    <row r="37" spans="1:6" x14ac:dyDescent="0.45">
      <c r="A37" s="5" t="str">
        <f>'2_Cleaned_Data'!A36</f>
        <v>STR-1009</v>
      </c>
      <c r="B37" s="18">
        <f>'2_Cleaned_Data'!B36</f>
        <v>45717</v>
      </c>
      <c r="C37" s="5" t="str">
        <f>'2_Cleaned_Data'!D36</f>
        <v>Residential</v>
      </c>
      <c r="D37" s="6">
        <f>IF('2_Cleaned_Data'!D36="Airport",1,0)</f>
        <v>0</v>
      </c>
      <c r="E37" s="6">
        <f>IF('2_Cleaned_Data'!D36="High Street",1,0)</f>
        <v>0</v>
      </c>
      <c r="F37" s="6">
        <f>IF('2_Cleaned_Data'!D36="Mall",1,0)</f>
        <v>0</v>
      </c>
    </row>
    <row r="38" spans="1:6" x14ac:dyDescent="0.45">
      <c r="A38" s="5" t="str">
        <f>'2_Cleaned_Data'!A37</f>
        <v>STR-1009</v>
      </c>
      <c r="B38" s="18">
        <f>'2_Cleaned_Data'!B37</f>
        <v>45748</v>
      </c>
      <c r="C38" s="5" t="str">
        <f>'2_Cleaned_Data'!D37</f>
        <v>Residential</v>
      </c>
      <c r="D38" s="6">
        <f>IF('2_Cleaned_Data'!D37="Airport",1,0)</f>
        <v>0</v>
      </c>
      <c r="E38" s="6">
        <f>IF('2_Cleaned_Data'!D37="High Street",1,0)</f>
        <v>0</v>
      </c>
      <c r="F38" s="6">
        <f>IF('2_Cleaned_Data'!D37="Mall",1,0)</f>
        <v>0</v>
      </c>
    </row>
    <row r="39" spans="1:6" x14ac:dyDescent="0.45">
      <c r="A39" s="5" t="str">
        <f>'2_Cleaned_Data'!A38</f>
        <v>STR-1010</v>
      </c>
      <c r="B39" s="18">
        <f>'2_Cleaned_Data'!B38</f>
        <v>45658</v>
      </c>
      <c r="C39" s="5" t="str">
        <f>'2_Cleaned_Data'!D38</f>
        <v>Mall</v>
      </c>
      <c r="D39" s="6">
        <f>IF('2_Cleaned_Data'!D38="Airport",1,0)</f>
        <v>0</v>
      </c>
      <c r="E39" s="6">
        <f>IF('2_Cleaned_Data'!D38="High Street",1,0)</f>
        <v>0</v>
      </c>
      <c r="F39" s="6">
        <f>IF('2_Cleaned_Data'!D38="Mall",1,0)</f>
        <v>1</v>
      </c>
    </row>
    <row r="40" spans="1:6" x14ac:dyDescent="0.45">
      <c r="A40" s="5" t="str">
        <f>'2_Cleaned_Data'!A39</f>
        <v>STR-1010</v>
      </c>
      <c r="B40" s="18">
        <f>'2_Cleaned_Data'!B39</f>
        <v>45689</v>
      </c>
      <c r="C40" s="5" t="str">
        <f>'2_Cleaned_Data'!D39</f>
        <v>Mall</v>
      </c>
      <c r="D40" s="6">
        <f>IF('2_Cleaned_Data'!D39="Airport",1,0)</f>
        <v>0</v>
      </c>
      <c r="E40" s="6">
        <f>IF('2_Cleaned_Data'!D39="High Street",1,0)</f>
        <v>0</v>
      </c>
      <c r="F40" s="6">
        <f>IF('2_Cleaned_Data'!D39="Mall",1,0)</f>
        <v>1</v>
      </c>
    </row>
    <row r="41" spans="1:6" x14ac:dyDescent="0.45">
      <c r="A41" s="5" t="str">
        <f>'2_Cleaned_Data'!A40</f>
        <v>STR-1010</v>
      </c>
      <c r="B41" s="18">
        <f>'2_Cleaned_Data'!B40</f>
        <v>45717</v>
      </c>
      <c r="C41" s="5" t="str">
        <f>'2_Cleaned_Data'!D40</f>
        <v>Mall</v>
      </c>
      <c r="D41" s="6">
        <f>IF('2_Cleaned_Data'!D40="Airport",1,0)</f>
        <v>0</v>
      </c>
      <c r="E41" s="6">
        <f>IF('2_Cleaned_Data'!D40="High Street",1,0)</f>
        <v>0</v>
      </c>
      <c r="F41" s="6">
        <f>IF('2_Cleaned_Data'!D40="Mall",1,0)</f>
        <v>1</v>
      </c>
    </row>
    <row r="42" spans="1:6" x14ac:dyDescent="0.45">
      <c r="A42" s="5" t="str">
        <f>'2_Cleaned_Data'!A41</f>
        <v>STR-1010</v>
      </c>
      <c r="B42" s="18">
        <f>'2_Cleaned_Data'!B41</f>
        <v>45748</v>
      </c>
      <c r="C42" s="5" t="str">
        <f>'2_Cleaned_Data'!D41</f>
        <v>Mall</v>
      </c>
      <c r="D42" s="6">
        <f>IF('2_Cleaned_Data'!D41="Airport",1,0)</f>
        <v>0</v>
      </c>
      <c r="E42" s="6">
        <f>IF('2_Cleaned_Data'!D41="High Street",1,0)</f>
        <v>0</v>
      </c>
      <c r="F42" s="6">
        <f>IF('2_Cleaned_Data'!D41="Mall",1,0)</f>
        <v>1</v>
      </c>
    </row>
    <row r="43" spans="1:6" x14ac:dyDescent="0.45">
      <c r="A43" s="5" t="str">
        <f>'2_Cleaned_Data'!A42</f>
        <v>STR-1011</v>
      </c>
      <c r="B43" s="18">
        <f>'2_Cleaned_Data'!B42</f>
        <v>45658</v>
      </c>
      <c r="C43" s="5" t="str">
        <f>'2_Cleaned_Data'!D42</f>
        <v>Mall</v>
      </c>
      <c r="D43" s="6">
        <f>IF('2_Cleaned_Data'!D42="Airport",1,0)</f>
        <v>0</v>
      </c>
      <c r="E43" s="6">
        <f>IF('2_Cleaned_Data'!D42="High Street",1,0)</f>
        <v>0</v>
      </c>
      <c r="F43" s="6">
        <f>IF('2_Cleaned_Data'!D42="Mall",1,0)</f>
        <v>1</v>
      </c>
    </row>
    <row r="44" spans="1:6" x14ac:dyDescent="0.45">
      <c r="A44" s="5" t="str">
        <f>'2_Cleaned_Data'!A43</f>
        <v>STR-1011</v>
      </c>
      <c r="B44" s="18">
        <f>'2_Cleaned_Data'!B43</f>
        <v>45689</v>
      </c>
      <c r="C44" s="5" t="str">
        <f>'2_Cleaned_Data'!D43</f>
        <v>Mall</v>
      </c>
      <c r="D44" s="6">
        <f>IF('2_Cleaned_Data'!D43="Airport",1,0)</f>
        <v>0</v>
      </c>
      <c r="E44" s="6">
        <f>IF('2_Cleaned_Data'!D43="High Street",1,0)</f>
        <v>0</v>
      </c>
      <c r="F44" s="6">
        <f>IF('2_Cleaned_Data'!D43="Mall",1,0)</f>
        <v>1</v>
      </c>
    </row>
    <row r="45" spans="1:6" x14ac:dyDescent="0.45">
      <c r="A45" s="5" t="str">
        <f>'2_Cleaned_Data'!A44</f>
        <v>STR-1011</v>
      </c>
      <c r="B45" s="18">
        <f>'2_Cleaned_Data'!B44</f>
        <v>45717</v>
      </c>
      <c r="C45" s="5" t="str">
        <f>'2_Cleaned_Data'!D44</f>
        <v>Mall</v>
      </c>
      <c r="D45" s="6">
        <f>IF('2_Cleaned_Data'!D44="Airport",1,0)</f>
        <v>0</v>
      </c>
      <c r="E45" s="6">
        <f>IF('2_Cleaned_Data'!D44="High Street",1,0)</f>
        <v>0</v>
      </c>
      <c r="F45" s="6">
        <f>IF('2_Cleaned_Data'!D44="Mall",1,0)</f>
        <v>1</v>
      </c>
    </row>
    <row r="46" spans="1:6" x14ac:dyDescent="0.45">
      <c r="A46" s="5" t="str">
        <f>'2_Cleaned_Data'!A45</f>
        <v>STR-1011</v>
      </c>
      <c r="B46" s="18">
        <f>'2_Cleaned_Data'!B45</f>
        <v>45748</v>
      </c>
      <c r="C46" s="5" t="str">
        <f>'2_Cleaned_Data'!D45</f>
        <v>Mall</v>
      </c>
      <c r="D46" s="6">
        <f>IF('2_Cleaned_Data'!D45="Airport",1,0)</f>
        <v>0</v>
      </c>
      <c r="E46" s="6">
        <f>IF('2_Cleaned_Data'!D45="High Street",1,0)</f>
        <v>0</v>
      </c>
      <c r="F46" s="6">
        <f>IF('2_Cleaned_Data'!D45="Mall",1,0)</f>
        <v>1</v>
      </c>
    </row>
    <row r="47" spans="1:6" x14ac:dyDescent="0.45">
      <c r="A47" s="5" t="str">
        <f>'2_Cleaned_Data'!A46</f>
        <v>STR-1012</v>
      </c>
      <c r="B47" s="18">
        <f>'2_Cleaned_Data'!B46</f>
        <v>45658</v>
      </c>
      <c r="C47" s="5" t="str">
        <f>'2_Cleaned_Data'!D46</f>
        <v>Residential</v>
      </c>
      <c r="D47" s="6">
        <f>IF('2_Cleaned_Data'!D46="Airport",1,0)</f>
        <v>0</v>
      </c>
      <c r="E47" s="6">
        <f>IF('2_Cleaned_Data'!D46="High Street",1,0)</f>
        <v>0</v>
      </c>
      <c r="F47" s="6">
        <f>IF('2_Cleaned_Data'!D46="Mall",1,0)</f>
        <v>0</v>
      </c>
    </row>
    <row r="48" spans="1:6" x14ac:dyDescent="0.45">
      <c r="A48" s="5" t="str">
        <f>'2_Cleaned_Data'!A47</f>
        <v>STR-1012</v>
      </c>
      <c r="B48" s="18">
        <f>'2_Cleaned_Data'!B47</f>
        <v>45689</v>
      </c>
      <c r="C48" s="5" t="str">
        <f>'2_Cleaned_Data'!D47</f>
        <v>Residential</v>
      </c>
      <c r="D48" s="6">
        <f>IF('2_Cleaned_Data'!D47="Airport",1,0)</f>
        <v>0</v>
      </c>
      <c r="E48" s="6">
        <f>IF('2_Cleaned_Data'!D47="High Street",1,0)</f>
        <v>0</v>
      </c>
      <c r="F48" s="6">
        <f>IF('2_Cleaned_Data'!D47="Mall",1,0)</f>
        <v>0</v>
      </c>
    </row>
    <row r="49" spans="1:6" x14ac:dyDescent="0.45">
      <c r="A49" s="5" t="str">
        <f>'2_Cleaned_Data'!A48</f>
        <v>STR-1012</v>
      </c>
      <c r="B49" s="18">
        <f>'2_Cleaned_Data'!B48</f>
        <v>45717</v>
      </c>
      <c r="C49" s="5" t="str">
        <f>'2_Cleaned_Data'!D48</f>
        <v>Residential</v>
      </c>
      <c r="D49" s="6">
        <f>IF('2_Cleaned_Data'!D48="Airport",1,0)</f>
        <v>0</v>
      </c>
      <c r="E49" s="6">
        <f>IF('2_Cleaned_Data'!D48="High Street",1,0)</f>
        <v>0</v>
      </c>
      <c r="F49" s="6">
        <f>IF('2_Cleaned_Data'!D48="Mall",1,0)</f>
        <v>0</v>
      </c>
    </row>
    <row r="50" spans="1:6" x14ac:dyDescent="0.45">
      <c r="A50" s="5" t="str">
        <f>'2_Cleaned_Data'!A49</f>
        <v>STR-1012</v>
      </c>
      <c r="B50" s="18">
        <f>'2_Cleaned_Data'!B49</f>
        <v>45748</v>
      </c>
      <c r="C50" s="5" t="str">
        <f>'2_Cleaned_Data'!D49</f>
        <v>Residential</v>
      </c>
      <c r="D50" s="6">
        <f>IF('2_Cleaned_Data'!D49="Airport",1,0)</f>
        <v>0</v>
      </c>
      <c r="E50" s="6">
        <f>IF('2_Cleaned_Data'!D49="High Street",1,0)</f>
        <v>0</v>
      </c>
      <c r="F50" s="6">
        <f>IF('2_Cleaned_Data'!D49="Mall",1,0)</f>
        <v>0</v>
      </c>
    </row>
    <row r="51" spans="1:6" x14ac:dyDescent="0.45">
      <c r="A51" s="5" t="str">
        <f>'2_Cleaned_Data'!A50</f>
        <v>STR-1013</v>
      </c>
      <c r="B51" s="18">
        <f>'2_Cleaned_Data'!B50</f>
        <v>45658</v>
      </c>
      <c r="C51" s="5" t="str">
        <f>'2_Cleaned_Data'!D50</f>
        <v>Mall</v>
      </c>
      <c r="D51" s="6">
        <f>IF('2_Cleaned_Data'!D50="Airport",1,0)</f>
        <v>0</v>
      </c>
      <c r="E51" s="6">
        <f>IF('2_Cleaned_Data'!D50="High Street",1,0)</f>
        <v>0</v>
      </c>
      <c r="F51" s="6">
        <f>IF('2_Cleaned_Data'!D50="Mall",1,0)</f>
        <v>1</v>
      </c>
    </row>
    <row r="52" spans="1:6" x14ac:dyDescent="0.45">
      <c r="A52" s="5" t="str">
        <f>'2_Cleaned_Data'!A51</f>
        <v>STR-1013</v>
      </c>
      <c r="B52" s="18">
        <f>'2_Cleaned_Data'!B51</f>
        <v>45689</v>
      </c>
      <c r="C52" s="5" t="str">
        <f>'2_Cleaned_Data'!D51</f>
        <v>Mall</v>
      </c>
      <c r="D52" s="6">
        <f>IF('2_Cleaned_Data'!D51="Airport",1,0)</f>
        <v>0</v>
      </c>
      <c r="E52" s="6">
        <f>IF('2_Cleaned_Data'!D51="High Street",1,0)</f>
        <v>0</v>
      </c>
      <c r="F52" s="6">
        <f>IF('2_Cleaned_Data'!D51="Mall",1,0)</f>
        <v>1</v>
      </c>
    </row>
    <row r="53" spans="1:6" x14ac:dyDescent="0.45">
      <c r="A53" s="5" t="str">
        <f>'2_Cleaned_Data'!A52</f>
        <v>STR-1013</v>
      </c>
      <c r="B53" s="18">
        <f>'2_Cleaned_Data'!B52</f>
        <v>45717</v>
      </c>
      <c r="C53" s="5" t="str">
        <f>'2_Cleaned_Data'!D52</f>
        <v>Mall</v>
      </c>
      <c r="D53" s="6">
        <f>IF('2_Cleaned_Data'!D52="Airport",1,0)</f>
        <v>0</v>
      </c>
      <c r="E53" s="6">
        <f>IF('2_Cleaned_Data'!D52="High Street",1,0)</f>
        <v>0</v>
      </c>
      <c r="F53" s="6">
        <f>IF('2_Cleaned_Data'!D52="Mall",1,0)</f>
        <v>1</v>
      </c>
    </row>
    <row r="54" spans="1:6" x14ac:dyDescent="0.45">
      <c r="A54" s="5" t="str">
        <f>'2_Cleaned_Data'!A53</f>
        <v>STR-1013</v>
      </c>
      <c r="B54" s="18">
        <f>'2_Cleaned_Data'!B53</f>
        <v>45748</v>
      </c>
      <c r="C54" s="5" t="str">
        <f>'2_Cleaned_Data'!D53</f>
        <v>Mall</v>
      </c>
      <c r="D54" s="6">
        <f>IF('2_Cleaned_Data'!D53="Airport",1,0)</f>
        <v>0</v>
      </c>
      <c r="E54" s="6">
        <f>IF('2_Cleaned_Data'!D53="High Street",1,0)</f>
        <v>0</v>
      </c>
      <c r="F54" s="6">
        <f>IF('2_Cleaned_Data'!D53="Mall",1,0)</f>
        <v>1</v>
      </c>
    </row>
    <row r="55" spans="1:6" x14ac:dyDescent="0.45">
      <c r="A55" s="5" t="str">
        <f>'2_Cleaned_Data'!A54</f>
        <v>STR-1014</v>
      </c>
      <c r="B55" s="18">
        <f>'2_Cleaned_Data'!B54</f>
        <v>45658</v>
      </c>
      <c r="C55" s="5" t="str">
        <f>'2_Cleaned_Data'!D54</f>
        <v>High Street</v>
      </c>
      <c r="D55" s="6">
        <f>IF('2_Cleaned_Data'!D54="Airport",1,0)</f>
        <v>0</v>
      </c>
      <c r="E55" s="6">
        <f>IF('2_Cleaned_Data'!D54="High Street",1,0)</f>
        <v>1</v>
      </c>
      <c r="F55" s="6">
        <f>IF('2_Cleaned_Data'!D54="Mall",1,0)</f>
        <v>0</v>
      </c>
    </row>
    <row r="56" spans="1:6" x14ac:dyDescent="0.45">
      <c r="A56" s="5" t="str">
        <f>'2_Cleaned_Data'!A55</f>
        <v>STR-1014</v>
      </c>
      <c r="B56" s="18">
        <f>'2_Cleaned_Data'!B55</f>
        <v>45689</v>
      </c>
      <c r="C56" s="5" t="str">
        <f>'2_Cleaned_Data'!D55</f>
        <v>High Street</v>
      </c>
      <c r="D56" s="6">
        <f>IF('2_Cleaned_Data'!D55="Airport",1,0)</f>
        <v>0</v>
      </c>
      <c r="E56" s="6">
        <f>IF('2_Cleaned_Data'!D55="High Street",1,0)</f>
        <v>1</v>
      </c>
      <c r="F56" s="6">
        <f>IF('2_Cleaned_Data'!D55="Mall",1,0)</f>
        <v>0</v>
      </c>
    </row>
    <row r="57" spans="1:6" x14ac:dyDescent="0.45">
      <c r="A57" s="5" t="str">
        <f>'2_Cleaned_Data'!A56</f>
        <v>STR-1014</v>
      </c>
      <c r="B57" s="18">
        <f>'2_Cleaned_Data'!B56</f>
        <v>45717</v>
      </c>
      <c r="C57" s="5" t="str">
        <f>'2_Cleaned_Data'!D56</f>
        <v>High Street</v>
      </c>
      <c r="D57" s="6">
        <f>IF('2_Cleaned_Data'!D56="Airport",1,0)</f>
        <v>0</v>
      </c>
      <c r="E57" s="6">
        <f>IF('2_Cleaned_Data'!D56="High Street",1,0)</f>
        <v>1</v>
      </c>
      <c r="F57" s="6">
        <f>IF('2_Cleaned_Data'!D56="Mall",1,0)</f>
        <v>0</v>
      </c>
    </row>
    <row r="58" spans="1:6" x14ac:dyDescent="0.45">
      <c r="A58" s="5" t="str">
        <f>'2_Cleaned_Data'!A57</f>
        <v>STR-1014</v>
      </c>
      <c r="B58" s="18">
        <f>'2_Cleaned_Data'!B57</f>
        <v>45748</v>
      </c>
      <c r="C58" s="5" t="str">
        <f>'2_Cleaned_Data'!D57</f>
        <v>High Street</v>
      </c>
      <c r="D58" s="6">
        <f>IF('2_Cleaned_Data'!D57="Airport",1,0)</f>
        <v>0</v>
      </c>
      <c r="E58" s="6">
        <f>IF('2_Cleaned_Data'!D57="High Street",1,0)</f>
        <v>1</v>
      </c>
      <c r="F58" s="6">
        <f>IF('2_Cleaned_Data'!D57="Mall",1,0)</f>
        <v>0</v>
      </c>
    </row>
    <row r="59" spans="1:6" x14ac:dyDescent="0.45">
      <c r="A59" s="5" t="str">
        <f>'2_Cleaned_Data'!A58</f>
        <v>STR-1015</v>
      </c>
      <c r="B59" s="18">
        <f>'2_Cleaned_Data'!B58</f>
        <v>45658</v>
      </c>
      <c r="C59" s="5" t="str">
        <f>'2_Cleaned_Data'!D58</f>
        <v>Airport</v>
      </c>
      <c r="D59" s="6">
        <f>IF('2_Cleaned_Data'!D58="Airport",1,0)</f>
        <v>1</v>
      </c>
      <c r="E59" s="6">
        <f>IF('2_Cleaned_Data'!D58="High Street",1,0)</f>
        <v>0</v>
      </c>
      <c r="F59" s="6">
        <f>IF('2_Cleaned_Data'!D58="Mall",1,0)</f>
        <v>0</v>
      </c>
    </row>
    <row r="60" spans="1:6" x14ac:dyDescent="0.45">
      <c r="A60" s="5" t="str">
        <f>'2_Cleaned_Data'!A59</f>
        <v>STR-1015</v>
      </c>
      <c r="B60" s="18">
        <f>'2_Cleaned_Data'!B59</f>
        <v>45689</v>
      </c>
      <c r="C60" s="5" t="str">
        <f>'2_Cleaned_Data'!D59</f>
        <v>Airport</v>
      </c>
      <c r="D60" s="6">
        <f>IF('2_Cleaned_Data'!D59="Airport",1,0)</f>
        <v>1</v>
      </c>
      <c r="E60" s="6">
        <f>IF('2_Cleaned_Data'!D59="High Street",1,0)</f>
        <v>0</v>
      </c>
      <c r="F60" s="6">
        <f>IF('2_Cleaned_Data'!D59="Mall",1,0)</f>
        <v>0</v>
      </c>
    </row>
    <row r="61" spans="1:6" x14ac:dyDescent="0.45">
      <c r="A61" s="5" t="str">
        <f>'2_Cleaned_Data'!A60</f>
        <v>STR-1015</v>
      </c>
      <c r="B61" s="18">
        <f>'2_Cleaned_Data'!B60</f>
        <v>45717</v>
      </c>
      <c r="C61" s="5" t="str">
        <f>'2_Cleaned_Data'!D60</f>
        <v>Airport</v>
      </c>
      <c r="D61" s="6">
        <f>IF('2_Cleaned_Data'!D60="Airport",1,0)</f>
        <v>1</v>
      </c>
      <c r="E61" s="6">
        <f>IF('2_Cleaned_Data'!D60="High Street",1,0)</f>
        <v>0</v>
      </c>
      <c r="F61" s="6">
        <f>IF('2_Cleaned_Data'!D60="Mall",1,0)</f>
        <v>0</v>
      </c>
    </row>
    <row r="62" spans="1:6" x14ac:dyDescent="0.45">
      <c r="A62" s="5" t="str">
        <f>'2_Cleaned_Data'!A61</f>
        <v>STR-1015</v>
      </c>
      <c r="B62" s="18">
        <f>'2_Cleaned_Data'!B61</f>
        <v>45748</v>
      </c>
      <c r="C62" s="5" t="str">
        <f>'2_Cleaned_Data'!D61</f>
        <v>Airport</v>
      </c>
      <c r="D62" s="6">
        <f>IF('2_Cleaned_Data'!D61="Airport",1,0)</f>
        <v>1</v>
      </c>
      <c r="E62" s="6">
        <f>IF('2_Cleaned_Data'!D61="High Street",1,0)</f>
        <v>0</v>
      </c>
      <c r="F62" s="6">
        <f>IF('2_Cleaned_Data'!D61="Mall",1,0)</f>
        <v>0</v>
      </c>
    </row>
    <row r="63" spans="1:6" x14ac:dyDescent="0.45">
      <c r="A63" s="5" t="str">
        <f>'2_Cleaned_Data'!A62</f>
        <v>STR-1016</v>
      </c>
      <c r="B63" s="18">
        <f>'2_Cleaned_Data'!B62</f>
        <v>45658</v>
      </c>
      <c r="C63" s="5" t="str">
        <f>'2_Cleaned_Data'!D62</f>
        <v>High Street</v>
      </c>
      <c r="D63" s="6">
        <f>IF('2_Cleaned_Data'!D62="Airport",1,0)</f>
        <v>0</v>
      </c>
      <c r="E63" s="6">
        <f>IF('2_Cleaned_Data'!D62="High Street",1,0)</f>
        <v>1</v>
      </c>
      <c r="F63" s="6">
        <f>IF('2_Cleaned_Data'!D62="Mall",1,0)</f>
        <v>0</v>
      </c>
    </row>
    <row r="64" spans="1:6" x14ac:dyDescent="0.45">
      <c r="A64" s="5" t="str">
        <f>'2_Cleaned_Data'!A63</f>
        <v>STR-1016</v>
      </c>
      <c r="B64" s="18">
        <f>'2_Cleaned_Data'!B63</f>
        <v>45689</v>
      </c>
      <c r="C64" s="5" t="str">
        <f>'2_Cleaned_Data'!D63</f>
        <v>High Street</v>
      </c>
      <c r="D64" s="6">
        <f>IF('2_Cleaned_Data'!D63="Airport",1,0)</f>
        <v>0</v>
      </c>
      <c r="E64" s="6">
        <f>IF('2_Cleaned_Data'!D63="High Street",1,0)</f>
        <v>1</v>
      </c>
      <c r="F64" s="6">
        <f>IF('2_Cleaned_Data'!D63="Mall",1,0)</f>
        <v>0</v>
      </c>
    </row>
    <row r="65" spans="1:6" x14ac:dyDescent="0.45">
      <c r="A65" s="5" t="str">
        <f>'2_Cleaned_Data'!A64</f>
        <v>STR-1016</v>
      </c>
      <c r="B65" s="18">
        <f>'2_Cleaned_Data'!B64</f>
        <v>45717</v>
      </c>
      <c r="C65" s="5" t="str">
        <f>'2_Cleaned_Data'!D64</f>
        <v>High Street</v>
      </c>
      <c r="D65" s="6">
        <f>IF('2_Cleaned_Data'!D64="Airport",1,0)</f>
        <v>0</v>
      </c>
      <c r="E65" s="6">
        <f>IF('2_Cleaned_Data'!D64="High Street",1,0)</f>
        <v>1</v>
      </c>
      <c r="F65" s="6">
        <f>IF('2_Cleaned_Data'!D64="Mall",1,0)</f>
        <v>0</v>
      </c>
    </row>
    <row r="66" spans="1:6" x14ac:dyDescent="0.45">
      <c r="A66" s="5" t="str">
        <f>'2_Cleaned_Data'!A65</f>
        <v>STR-1016</v>
      </c>
      <c r="B66" s="18">
        <f>'2_Cleaned_Data'!B65</f>
        <v>45748</v>
      </c>
      <c r="C66" s="5" t="str">
        <f>'2_Cleaned_Data'!D65</f>
        <v>High Street</v>
      </c>
      <c r="D66" s="6">
        <f>IF('2_Cleaned_Data'!D65="Airport",1,0)</f>
        <v>0</v>
      </c>
      <c r="E66" s="6">
        <f>IF('2_Cleaned_Data'!D65="High Street",1,0)</f>
        <v>1</v>
      </c>
      <c r="F66" s="6">
        <f>IF('2_Cleaned_Data'!D65="Mall",1,0)</f>
        <v>0</v>
      </c>
    </row>
    <row r="67" spans="1:6" x14ac:dyDescent="0.45">
      <c r="A67" s="5" t="str">
        <f>'2_Cleaned_Data'!A66</f>
        <v>STR-1017</v>
      </c>
      <c r="B67" s="18">
        <f>'2_Cleaned_Data'!B66</f>
        <v>45658</v>
      </c>
      <c r="C67" s="5" t="str">
        <f>'2_Cleaned_Data'!D66</f>
        <v>High Street</v>
      </c>
      <c r="D67" s="6">
        <f>IF('2_Cleaned_Data'!D66="Airport",1,0)</f>
        <v>0</v>
      </c>
      <c r="E67" s="6">
        <f>IF('2_Cleaned_Data'!D66="High Street",1,0)</f>
        <v>1</v>
      </c>
      <c r="F67" s="6">
        <f>IF('2_Cleaned_Data'!D66="Mall",1,0)</f>
        <v>0</v>
      </c>
    </row>
    <row r="68" spans="1:6" x14ac:dyDescent="0.45">
      <c r="A68" s="5" t="str">
        <f>'2_Cleaned_Data'!A67</f>
        <v>STR-1017</v>
      </c>
      <c r="B68" s="18">
        <f>'2_Cleaned_Data'!B67</f>
        <v>45689</v>
      </c>
      <c r="C68" s="5" t="str">
        <f>'2_Cleaned_Data'!D67</f>
        <v>High Street</v>
      </c>
      <c r="D68" s="6">
        <f>IF('2_Cleaned_Data'!D67="Airport",1,0)</f>
        <v>0</v>
      </c>
      <c r="E68" s="6">
        <f>IF('2_Cleaned_Data'!D67="High Street",1,0)</f>
        <v>1</v>
      </c>
      <c r="F68" s="6">
        <f>IF('2_Cleaned_Data'!D67="Mall",1,0)</f>
        <v>0</v>
      </c>
    </row>
    <row r="69" spans="1:6" x14ac:dyDescent="0.45">
      <c r="A69" s="5" t="str">
        <f>'2_Cleaned_Data'!A68</f>
        <v>STR-1017</v>
      </c>
      <c r="B69" s="18">
        <f>'2_Cleaned_Data'!B68</f>
        <v>45717</v>
      </c>
      <c r="C69" s="5" t="str">
        <f>'2_Cleaned_Data'!D68</f>
        <v>High Street</v>
      </c>
      <c r="D69" s="6">
        <f>IF('2_Cleaned_Data'!D68="Airport",1,0)</f>
        <v>0</v>
      </c>
      <c r="E69" s="6">
        <f>IF('2_Cleaned_Data'!D68="High Street",1,0)</f>
        <v>1</v>
      </c>
      <c r="F69" s="6">
        <f>IF('2_Cleaned_Data'!D68="Mall",1,0)</f>
        <v>0</v>
      </c>
    </row>
    <row r="70" spans="1:6" x14ac:dyDescent="0.45">
      <c r="A70" s="5" t="str">
        <f>'2_Cleaned_Data'!A69</f>
        <v>STR-1017</v>
      </c>
      <c r="B70" s="18">
        <f>'2_Cleaned_Data'!B69</f>
        <v>45748</v>
      </c>
      <c r="C70" s="5" t="str">
        <f>'2_Cleaned_Data'!D69</f>
        <v>High Street</v>
      </c>
      <c r="D70" s="6">
        <f>IF('2_Cleaned_Data'!D69="Airport",1,0)</f>
        <v>0</v>
      </c>
      <c r="E70" s="6">
        <f>IF('2_Cleaned_Data'!D69="High Street",1,0)</f>
        <v>1</v>
      </c>
      <c r="F70" s="6">
        <f>IF('2_Cleaned_Data'!D69="Mall",1,0)</f>
        <v>0</v>
      </c>
    </row>
    <row r="71" spans="1:6" x14ac:dyDescent="0.45">
      <c r="A71" s="5" t="str">
        <f>'2_Cleaned_Data'!A70</f>
        <v>STR-1018</v>
      </c>
      <c r="B71" s="18">
        <f>'2_Cleaned_Data'!B70</f>
        <v>45658</v>
      </c>
      <c r="C71" s="5" t="str">
        <f>'2_Cleaned_Data'!D70</f>
        <v>High Street</v>
      </c>
      <c r="D71" s="6">
        <f>IF('2_Cleaned_Data'!D70="Airport",1,0)</f>
        <v>0</v>
      </c>
      <c r="E71" s="6">
        <f>IF('2_Cleaned_Data'!D70="High Street",1,0)</f>
        <v>1</v>
      </c>
      <c r="F71" s="6">
        <f>IF('2_Cleaned_Data'!D70="Mall",1,0)</f>
        <v>0</v>
      </c>
    </row>
    <row r="72" spans="1:6" x14ac:dyDescent="0.45">
      <c r="A72" s="5" t="str">
        <f>'2_Cleaned_Data'!A71</f>
        <v>STR-1018</v>
      </c>
      <c r="B72" s="18">
        <f>'2_Cleaned_Data'!B71</f>
        <v>45689</v>
      </c>
      <c r="C72" s="5" t="str">
        <f>'2_Cleaned_Data'!D71</f>
        <v>High Street</v>
      </c>
      <c r="D72" s="6">
        <f>IF('2_Cleaned_Data'!D71="Airport",1,0)</f>
        <v>0</v>
      </c>
      <c r="E72" s="6">
        <f>IF('2_Cleaned_Data'!D71="High Street",1,0)</f>
        <v>1</v>
      </c>
      <c r="F72" s="6">
        <f>IF('2_Cleaned_Data'!D71="Mall",1,0)</f>
        <v>0</v>
      </c>
    </row>
    <row r="73" spans="1:6" x14ac:dyDescent="0.45">
      <c r="A73" s="5" t="str">
        <f>'2_Cleaned_Data'!A72</f>
        <v>STR-1018</v>
      </c>
      <c r="B73" s="18">
        <f>'2_Cleaned_Data'!B72</f>
        <v>45717</v>
      </c>
      <c r="C73" s="5" t="str">
        <f>'2_Cleaned_Data'!D72</f>
        <v>High Street</v>
      </c>
      <c r="D73" s="6">
        <f>IF('2_Cleaned_Data'!D72="Airport",1,0)</f>
        <v>0</v>
      </c>
      <c r="E73" s="6">
        <f>IF('2_Cleaned_Data'!D72="High Street",1,0)</f>
        <v>1</v>
      </c>
      <c r="F73" s="6">
        <f>IF('2_Cleaned_Data'!D72="Mall",1,0)</f>
        <v>0</v>
      </c>
    </row>
    <row r="74" spans="1:6" x14ac:dyDescent="0.45">
      <c r="A74" s="5" t="str">
        <f>'2_Cleaned_Data'!A73</f>
        <v>STR-1019</v>
      </c>
      <c r="B74" s="18">
        <f>'2_Cleaned_Data'!B73</f>
        <v>45658</v>
      </c>
      <c r="C74" s="5" t="str">
        <f>'2_Cleaned_Data'!D73</f>
        <v>Residential</v>
      </c>
      <c r="D74" s="6">
        <f>IF('2_Cleaned_Data'!D73="Airport",1,0)</f>
        <v>0</v>
      </c>
      <c r="E74" s="6">
        <f>IF('2_Cleaned_Data'!D73="High Street",1,0)</f>
        <v>0</v>
      </c>
      <c r="F74" s="6">
        <f>IF('2_Cleaned_Data'!D73="Mall",1,0)</f>
        <v>0</v>
      </c>
    </row>
    <row r="75" spans="1:6" x14ac:dyDescent="0.45">
      <c r="A75" s="5" t="str">
        <f>'2_Cleaned_Data'!A74</f>
        <v>STR-1019</v>
      </c>
      <c r="B75" s="18">
        <f>'2_Cleaned_Data'!B74</f>
        <v>45689</v>
      </c>
      <c r="C75" s="5" t="str">
        <f>'2_Cleaned_Data'!D74</f>
        <v>Residential</v>
      </c>
      <c r="D75" s="6">
        <f>IF('2_Cleaned_Data'!D74="Airport",1,0)</f>
        <v>0</v>
      </c>
      <c r="E75" s="6">
        <f>IF('2_Cleaned_Data'!D74="High Street",1,0)</f>
        <v>0</v>
      </c>
      <c r="F75" s="6">
        <f>IF('2_Cleaned_Data'!D74="Mall",1,0)</f>
        <v>0</v>
      </c>
    </row>
    <row r="76" spans="1:6" x14ac:dyDescent="0.45">
      <c r="A76" s="5" t="str">
        <f>'2_Cleaned_Data'!A75</f>
        <v>STR-1019</v>
      </c>
      <c r="B76" s="18">
        <f>'2_Cleaned_Data'!B75</f>
        <v>45717</v>
      </c>
      <c r="C76" s="5" t="str">
        <f>'2_Cleaned_Data'!D75</f>
        <v>Residential</v>
      </c>
      <c r="D76" s="6">
        <f>IF('2_Cleaned_Data'!D75="Airport",1,0)</f>
        <v>0</v>
      </c>
      <c r="E76" s="6">
        <f>IF('2_Cleaned_Data'!D75="High Street",1,0)</f>
        <v>0</v>
      </c>
      <c r="F76" s="6">
        <f>IF('2_Cleaned_Data'!D75="Mall",1,0)</f>
        <v>0</v>
      </c>
    </row>
    <row r="77" spans="1:6" x14ac:dyDescent="0.45">
      <c r="A77" s="5" t="str">
        <f>'2_Cleaned_Data'!A76</f>
        <v>STR-1019</v>
      </c>
      <c r="B77" s="18">
        <f>'2_Cleaned_Data'!B76</f>
        <v>45748</v>
      </c>
      <c r="C77" s="5" t="str">
        <f>'2_Cleaned_Data'!D76</f>
        <v>Residential</v>
      </c>
      <c r="D77" s="6">
        <f>IF('2_Cleaned_Data'!D76="Airport",1,0)</f>
        <v>0</v>
      </c>
      <c r="E77" s="6">
        <f>IF('2_Cleaned_Data'!D76="High Street",1,0)</f>
        <v>0</v>
      </c>
      <c r="F77" s="6">
        <f>IF('2_Cleaned_Data'!D76="Mall",1,0)</f>
        <v>0</v>
      </c>
    </row>
    <row r="78" spans="1:6" x14ac:dyDescent="0.45">
      <c r="A78" s="5" t="str">
        <f>'2_Cleaned_Data'!A77</f>
        <v>STR-1020</v>
      </c>
      <c r="B78" s="18">
        <f>'2_Cleaned_Data'!B77</f>
        <v>45658</v>
      </c>
      <c r="C78" s="5" t="str">
        <f>'2_Cleaned_Data'!D77</f>
        <v>High Street</v>
      </c>
      <c r="D78" s="6">
        <f>IF('2_Cleaned_Data'!D77="Airport",1,0)</f>
        <v>0</v>
      </c>
      <c r="E78" s="6">
        <f>IF('2_Cleaned_Data'!D77="High Street",1,0)</f>
        <v>1</v>
      </c>
      <c r="F78" s="6">
        <f>IF('2_Cleaned_Data'!D77="Mall",1,0)</f>
        <v>0</v>
      </c>
    </row>
    <row r="79" spans="1:6" x14ac:dyDescent="0.45">
      <c r="A79" s="5" t="str">
        <f>'2_Cleaned_Data'!A78</f>
        <v>STR-1020</v>
      </c>
      <c r="B79" s="18">
        <f>'2_Cleaned_Data'!B78</f>
        <v>45689</v>
      </c>
      <c r="C79" s="5" t="str">
        <f>'2_Cleaned_Data'!D78</f>
        <v>High Street</v>
      </c>
      <c r="D79" s="6">
        <f>IF('2_Cleaned_Data'!D78="Airport",1,0)</f>
        <v>0</v>
      </c>
      <c r="E79" s="6">
        <f>IF('2_Cleaned_Data'!D78="High Street",1,0)</f>
        <v>1</v>
      </c>
      <c r="F79" s="6">
        <f>IF('2_Cleaned_Data'!D78="Mall",1,0)</f>
        <v>0</v>
      </c>
    </row>
    <row r="80" spans="1:6" x14ac:dyDescent="0.45">
      <c r="A80" s="5" t="str">
        <f>'2_Cleaned_Data'!A79</f>
        <v>STR-1020</v>
      </c>
      <c r="B80" s="18">
        <f>'2_Cleaned_Data'!B79</f>
        <v>45717</v>
      </c>
      <c r="C80" s="5" t="str">
        <f>'2_Cleaned_Data'!D79</f>
        <v>High Street</v>
      </c>
      <c r="D80" s="6">
        <f>IF('2_Cleaned_Data'!D79="Airport",1,0)</f>
        <v>0</v>
      </c>
      <c r="E80" s="6">
        <f>IF('2_Cleaned_Data'!D79="High Street",1,0)</f>
        <v>1</v>
      </c>
      <c r="F80" s="6">
        <f>IF('2_Cleaned_Data'!D79="Mall",1,0)</f>
        <v>0</v>
      </c>
    </row>
    <row r="81" spans="1:6" x14ac:dyDescent="0.45">
      <c r="A81" s="5" t="str">
        <f>'2_Cleaned_Data'!A80</f>
        <v>STR-1020</v>
      </c>
      <c r="B81" s="18">
        <f>'2_Cleaned_Data'!B80</f>
        <v>45748</v>
      </c>
      <c r="C81" s="5" t="str">
        <f>'2_Cleaned_Data'!D80</f>
        <v>High Street</v>
      </c>
      <c r="D81" s="6">
        <f>IF('2_Cleaned_Data'!D80="Airport",1,0)</f>
        <v>0</v>
      </c>
      <c r="E81" s="6">
        <f>IF('2_Cleaned_Data'!D80="High Street",1,0)</f>
        <v>1</v>
      </c>
      <c r="F81" s="6">
        <f>IF('2_Cleaned_Data'!D80="Mall",1,0)</f>
        <v>0</v>
      </c>
    </row>
    <row r="82" spans="1:6" x14ac:dyDescent="0.45">
      <c r="A82" s="5" t="str">
        <f>'2_Cleaned_Data'!A81</f>
        <v>STR-1021</v>
      </c>
      <c r="B82" s="18">
        <f>'2_Cleaned_Data'!B81</f>
        <v>45658</v>
      </c>
      <c r="C82" s="5" t="str">
        <f>'2_Cleaned_Data'!D81</f>
        <v>Mall</v>
      </c>
      <c r="D82" s="6">
        <f>IF('2_Cleaned_Data'!D81="Airport",1,0)</f>
        <v>0</v>
      </c>
      <c r="E82" s="6">
        <f>IF('2_Cleaned_Data'!D81="High Street",1,0)</f>
        <v>0</v>
      </c>
      <c r="F82" s="6">
        <f>IF('2_Cleaned_Data'!D81="Mall",1,0)</f>
        <v>1</v>
      </c>
    </row>
    <row r="83" spans="1:6" x14ac:dyDescent="0.45">
      <c r="A83" s="5" t="str">
        <f>'2_Cleaned_Data'!A82</f>
        <v>STR-1021</v>
      </c>
      <c r="B83" s="18">
        <f>'2_Cleaned_Data'!B82</f>
        <v>45689</v>
      </c>
      <c r="C83" s="5" t="str">
        <f>'2_Cleaned_Data'!D82</f>
        <v>Mall</v>
      </c>
      <c r="D83" s="6">
        <f>IF('2_Cleaned_Data'!D82="Airport",1,0)</f>
        <v>0</v>
      </c>
      <c r="E83" s="6">
        <f>IF('2_Cleaned_Data'!D82="High Street",1,0)</f>
        <v>0</v>
      </c>
      <c r="F83" s="6">
        <f>IF('2_Cleaned_Data'!D82="Mall",1,0)</f>
        <v>1</v>
      </c>
    </row>
    <row r="84" spans="1:6" x14ac:dyDescent="0.45">
      <c r="A84" s="5" t="str">
        <f>'2_Cleaned_Data'!A83</f>
        <v>STR-1021</v>
      </c>
      <c r="B84" s="18">
        <f>'2_Cleaned_Data'!B83</f>
        <v>45717</v>
      </c>
      <c r="C84" s="5" t="str">
        <f>'2_Cleaned_Data'!D83</f>
        <v>Mall</v>
      </c>
      <c r="D84" s="6">
        <f>IF('2_Cleaned_Data'!D83="Airport",1,0)</f>
        <v>0</v>
      </c>
      <c r="E84" s="6">
        <f>IF('2_Cleaned_Data'!D83="High Street",1,0)</f>
        <v>0</v>
      </c>
      <c r="F84" s="6">
        <f>IF('2_Cleaned_Data'!D83="Mall",1,0)</f>
        <v>1</v>
      </c>
    </row>
    <row r="85" spans="1:6" x14ac:dyDescent="0.45">
      <c r="A85" s="5" t="str">
        <f>'2_Cleaned_Data'!A84</f>
        <v>STR-1021</v>
      </c>
      <c r="B85" s="18">
        <f>'2_Cleaned_Data'!B84</f>
        <v>45748</v>
      </c>
      <c r="C85" s="5" t="str">
        <f>'2_Cleaned_Data'!D84</f>
        <v>Mall</v>
      </c>
      <c r="D85" s="6">
        <f>IF('2_Cleaned_Data'!D84="Airport",1,0)</f>
        <v>0</v>
      </c>
      <c r="E85" s="6">
        <f>IF('2_Cleaned_Data'!D84="High Street",1,0)</f>
        <v>0</v>
      </c>
      <c r="F85" s="6">
        <f>IF('2_Cleaned_Data'!D84="Mall",1,0)</f>
        <v>1</v>
      </c>
    </row>
    <row r="86" spans="1:6" x14ac:dyDescent="0.45">
      <c r="A86" s="5" t="str">
        <f>'2_Cleaned_Data'!A85</f>
        <v>STR-1022</v>
      </c>
      <c r="B86" s="18">
        <f>'2_Cleaned_Data'!B85</f>
        <v>45658</v>
      </c>
      <c r="C86" s="5" t="str">
        <f>'2_Cleaned_Data'!D85</f>
        <v>High Street</v>
      </c>
      <c r="D86" s="6">
        <f>IF('2_Cleaned_Data'!D85="Airport",1,0)</f>
        <v>0</v>
      </c>
      <c r="E86" s="6">
        <f>IF('2_Cleaned_Data'!D85="High Street",1,0)</f>
        <v>1</v>
      </c>
      <c r="F86" s="6">
        <f>IF('2_Cleaned_Data'!D85="Mall",1,0)</f>
        <v>0</v>
      </c>
    </row>
    <row r="87" spans="1:6" x14ac:dyDescent="0.45">
      <c r="A87" s="5" t="str">
        <f>'2_Cleaned_Data'!A86</f>
        <v>STR-1022</v>
      </c>
      <c r="B87" s="18">
        <f>'2_Cleaned_Data'!B86</f>
        <v>45717</v>
      </c>
      <c r="C87" s="5" t="str">
        <f>'2_Cleaned_Data'!D86</f>
        <v>High Street</v>
      </c>
      <c r="D87" s="6">
        <f>IF('2_Cleaned_Data'!D86="Airport",1,0)</f>
        <v>0</v>
      </c>
      <c r="E87" s="6">
        <f>IF('2_Cleaned_Data'!D86="High Street",1,0)</f>
        <v>1</v>
      </c>
      <c r="F87" s="6">
        <f>IF('2_Cleaned_Data'!D86="Mall",1,0)</f>
        <v>0</v>
      </c>
    </row>
    <row r="88" spans="1:6" x14ac:dyDescent="0.45">
      <c r="A88" s="5" t="str">
        <f>'2_Cleaned_Data'!A87</f>
        <v>STR-1022</v>
      </c>
      <c r="B88" s="18">
        <f>'2_Cleaned_Data'!B87</f>
        <v>45748</v>
      </c>
      <c r="C88" s="5" t="str">
        <f>'2_Cleaned_Data'!D87</f>
        <v>High Street</v>
      </c>
      <c r="D88" s="6">
        <f>IF('2_Cleaned_Data'!D87="Airport",1,0)</f>
        <v>0</v>
      </c>
      <c r="E88" s="6">
        <f>IF('2_Cleaned_Data'!D87="High Street",1,0)</f>
        <v>1</v>
      </c>
      <c r="F88" s="6">
        <f>IF('2_Cleaned_Data'!D87="Mall",1,0)</f>
        <v>0</v>
      </c>
    </row>
    <row r="89" spans="1:6" x14ac:dyDescent="0.45">
      <c r="A89" s="5" t="str">
        <f>'2_Cleaned_Data'!A88</f>
        <v>STR-1023</v>
      </c>
      <c r="B89" s="18">
        <f>'2_Cleaned_Data'!B88</f>
        <v>45658</v>
      </c>
      <c r="C89" s="5" t="str">
        <f>'2_Cleaned_Data'!D88</f>
        <v>Mall</v>
      </c>
      <c r="D89" s="6">
        <f>IF('2_Cleaned_Data'!D88="Airport",1,0)</f>
        <v>0</v>
      </c>
      <c r="E89" s="6">
        <f>IF('2_Cleaned_Data'!D88="High Street",1,0)</f>
        <v>0</v>
      </c>
      <c r="F89" s="6">
        <f>IF('2_Cleaned_Data'!D88="Mall",1,0)</f>
        <v>1</v>
      </c>
    </row>
    <row r="90" spans="1:6" x14ac:dyDescent="0.45">
      <c r="A90" s="5" t="str">
        <f>'2_Cleaned_Data'!A89</f>
        <v>STR-1023</v>
      </c>
      <c r="B90" s="18">
        <f>'2_Cleaned_Data'!B89</f>
        <v>45689</v>
      </c>
      <c r="C90" s="5" t="str">
        <f>'2_Cleaned_Data'!D89</f>
        <v>Mall</v>
      </c>
      <c r="D90" s="6">
        <f>IF('2_Cleaned_Data'!D89="Airport",1,0)</f>
        <v>0</v>
      </c>
      <c r="E90" s="6">
        <f>IF('2_Cleaned_Data'!D89="High Street",1,0)</f>
        <v>0</v>
      </c>
      <c r="F90" s="6">
        <f>IF('2_Cleaned_Data'!D89="Mall",1,0)</f>
        <v>1</v>
      </c>
    </row>
    <row r="91" spans="1:6" x14ac:dyDescent="0.45">
      <c r="A91" s="5" t="str">
        <f>'2_Cleaned_Data'!A90</f>
        <v>STR-1023</v>
      </c>
      <c r="B91" s="18">
        <f>'2_Cleaned_Data'!B90</f>
        <v>45717</v>
      </c>
      <c r="C91" s="5" t="str">
        <f>'2_Cleaned_Data'!D90</f>
        <v>Mall</v>
      </c>
      <c r="D91" s="6">
        <f>IF('2_Cleaned_Data'!D90="Airport",1,0)</f>
        <v>0</v>
      </c>
      <c r="E91" s="6">
        <f>IF('2_Cleaned_Data'!D90="High Street",1,0)</f>
        <v>0</v>
      </c>
      <c r="F91" s="6">
        <f>IF('2_Cleaned_Data'!D90="Mall",1,0)</f>
        <v>1</v>
      </c>
    </row>
    <row r="92" spans="1:6" x14ac:dyDescent="0.45">
      <c r="A92" s="5" t="str">
        <f>'2_Cleaned_Data'!A91</f>
        <v>STR-1023</v>
      </c>
      <c r="B92" s="18">
        <f>'2_Cleaned_Data'!B91</f>
        <v>45748</v>
      </c>
      <c r="C92" s="5" t="str">
        <f>'2_Cleaned_Data'!D91</f>
        <v>Mall</v>
      </c>
      <c r="D92" s="6">
        <f>IF('2_Cleaned_Data'!D91="Airport",1,0)</f>
        <v>0</v>
      </c>
      <c r="E92" s="6">
        <f>IF('2_Cleaned_Data'!D91="High Street",1,0)</f>
        <v>0</v>
      </c>
      <c r="F92" s="6">
        <f>IF('2_Cleaned_Data'!D91="Mall",1,0)</f>
        <v>1</v>
      </c>
    </row>
    <row r="93" spans="1:6" x14ac:dyDescent="0.45">
      <c r="A93" s="5" t="str">
        <f>'2_Cleaned_Data'!A92</f>
        <v>STR-1024</v>
      </c>
      <c r="B93" s="18">
        <f>'2_Cleaned_Data'!B92</f>
        <v>45658</v>
      </c>
      <c r="C93" s="5" t="str">
        <f>'2_Cleaned_Data'!D92</f>
        <v>Residential</v>
      </c>
      <c r="D93" s="6">
        <f>IF('2_Cleaned_Data'!D92="Airport",1,0)</f>
        <v>0</v>
      </c>
      <c r="E93" s="6">
        <f>IF('2_Cleaned_Data'!D92="High Street",1,0)</f>
        <v>0</v>
      </c>
      <c r="F93" s="6">
        <f>IF('2_Cleaned_Data'!D92="Mall",1,0)</f>
        <v>0</v>
      </c>
    </row>
    <row r="94" spans="1:6" x14ac:dyDescent="0.45">
      <c r="A94" s="5" t="str">
        <f>'2_Cleaned_Data'!A93</f>
        <v>STR-1024</v>
      </c>
      <c r="B94" s="18">
        <f>'2_Cleaned_Data'!B93</f>
        <v>45689</v>
      </c>
      <c r="C94" s="5" t="str">
        <f>'2_Cleaned_Data'!D93</f>
        <v>Residential</v>
      </c>
      <c r="D94" s="6">
        <f>IF('2_Cleaned_Data'!D93="Airport",1,0)</f>
        <v>0</v>
      </c>
      <c r="E94" s="6">
        <f>IF('2_Cleaned_Data'!D93="High Street",1,0)</f>
        <v>0</v>
      </c>
      <c r="F94" s="6">
        <f>IF('2_Cleaned_Data'!D93="Mall",1,0)</f>
        <v>0</v>
      </c>
    </row>
    <row r="95" spans="1:6" x14ac:dyDescent="0.45">
      <c r="A95" s="5" t="str">
        <f>'2_Cleaned_Data'!A94</f>
        <v>STR-1024</v>
      </c>
      <c r="B95" s="18">
        <f>'2_Cleaned_Data'!B94</f>
        <v>45717</v>
      </c>
      <c r="C95" s="5" t="str">
        <f>'2_Cleaned_Data'!D94</f>
        <v>Residential</v>
      </c>
      <c r="D95" s="6">
        <f>IF('2_Cleaned_Data'!D94="Airport",1,0)</f>
        <v>0</v>
      </c>
      <c r="E95" s="6">
        <f>IF('2_Cleaned_Data'!D94="High Street",1,0)</f>
        <v>0</v>
      </c>
      <c r="F95" s="6">
        <f>IF('2_Cleaned_Data'!D94="Mall",1,0)</f>
        <v>0</v>
      </c>
    </row>
    <row r="96" spans="1:6" x14ac:dyDescent="0.45">
      <c r="A96" s="5" t="str">
        <f>'2_Cleaned_Data'!A95</f>
        <v>STR-1024</v>
      </c>
      <c r="B96" s="18">
        <f>'2_Cleaned_Data'!B95</f>
        <v>45748</v>
      </c>
      <c r="C96" s="5" t="str">
        <f>'2_Cleaned_Data'!D95</f>
        <v>Residential</v>
      </c>
      <c r="D96" s="6">
        <f>IF('2_Cleaned_Data'!D95="Airport",1,0)</f>
        <v>0</v>
      </c>
      <c r="E96" s="6">
        <f>IF('2_Cleaned_Data'!D95="High Street",1,0)</f>
        <v>0</v>
      </c>
      <c r="F96" s="6">
        <f>IF('2_Cleaned_Data'!D95="Mall",1,0)</f>
        <v>0</v>
      </c>
    </row>
    <row r="97" spans="1:6" x14ac:dyDescent="0.45">
      <c r="A97" s="5" t="str">
        <f>'2_Cleaned_Data'!A96</f>
        <v>STR-1025</v>
      </c>
      <c r="B97" s="18">
        <f>'2_Cleaned_Data'!B96</f>
        <v>45658</v>
      </c>
      <c r="C97" s="5" t="str">
        <f>'2_Cleaned_Data'!D96</f>
        <v>Mall</v>
      </c>
      <c r="D97" s="6">
        <f>IF('2_Cleaned_Data'!D96="Airport",1,0)</f>
        <v>0</v>
      </c>
      <c r="E97" s="6">
        <f>IF('2_Cleaned_Data'!D96="High Street",1,0)</f>
        <v>0</v>
      </c>
      <c r="F97" s="6">
        <f>IF('2_Cleaned_Data'!D96="Mall",1,0)</f>
        <v>1</v>
      </c>
    </row>
    <row r="98" spans="1:6" x14ac:dyDescent="0.45">
      <c r="A98" s="5" t="str">
        <f>'2_Cleaned_Data'!A97</f>
        <v>STR-1025</v>
      </c>
      <c r="B98" s="18">
        <f>'2_Cleaned_Data'!B97</f>
        <v>45689</v>
      </c>
      <c r="C98" s="5" t="str">
        <f>'2_Cleaned_Data'!D97</f>
        <v>Mall</v>
      </c>
      <c r="D98" s="6">
        <f>IF('2_Cleaned_Data'!D97="Airport",1,0)</f>
        <v>0</v>
      </c>
      <c r="E98" s="6">
        <f>IF('2_Cleaned_Data'!D97="High Street",1,0)</f>
        <v>0</v>
      </c>
      <c r="F98" s="6">
        <f>IF('2_Cleaned_Data'!D97="Mall",1,0)</f>
        <v>1</v>
      </c>
    </row>
    <row r="99" spans="1:6" x14ac:dyDescent="0.45">
      <c r="A99" s="5" t="str">
        <f>'2_Cleaned_Data'!A98</f>
        <v>STR-1025</v>
      </c>
      <c r="B99" s="18">
        <f>'2_Cleaned_Data'!B98</f>
        <v>45748</v>
      </c>
      <c r="C99" s="5" t="str">
        <f>'2_Cleaned_Data'!D98</f>
        <v>Mall</v>
      </c>
      <c r="D99" s="6">
        <f>IF('2_Cleaned_Data'!D98="Airport",1,0)</f>
        <v>0</v>
      </c>
      <c r="E99" s="6">
        <f>IF('2_Cleaned_Data'!D98="High Street",1,0)</f>
        <v>0</v>
      </c>
      <c r="F99" s="6">
        <f>IF('2_Cleaned_Data'!D98="Mall",1,0)</f>
        <v>1</v>
      </c>
    </row>
    <row r="100" spans="1:6" x14ac:dyDescent="0.45">
      <c r="A100" s="5" t="str">
        <f>'2_Cleaned_Data'!A99</f>
        <v>STR-1026</v>
      </c>
      <c r="B100" s="18">
        <f>'2_Cleaned_Data'!B99</f>
        <v>45658</v>
      </c>
      <c r="C100" s="5" t="str">
        <f>'2_Cleaned_Data'!D99</f>
        <v>Mall</v>
      </c>
      <c r="D100" s="6">
        <f>IF('2_Cleaned_Data'!D99="Airport",1,0)</f>
        <v>0</v>
      </c>
      <c r="E100" s="6">
        <f>IF('2_Cleaned_Data'!D99="High Street",1,0)</f>
        <v>0</v>
      </c>
      <c r="F100" s="6">
        <f>IF('2_Cleaned_Data'!D99="Mall",1,0)</f>
        <v>1</v>
      </c>
    </row>
    <row r="101" spans="1:6" x14ac:dyDescent="0.45">
      <c r="A101" s="5" t="str">
        <f>'2_Cleaned_Data'!A100</f>
        <v>STR-1026</v>
      </c>
      <c r="B101" s="18">
        <f>'2_Cleaned_Data'!B100</f>
        <v>45689</v>
      </c>
      <c r="C101" s="5" t="str">
        <f>'2_Cleaned_Data'!D100</f>
        <v>Mall</v>
      </c>
      <c r="D101" s="6">
        <f>IF('2_Cleaned_Data'!D100="Airport",1,0)</f>
        <v>0</v>
      </c>
      <c r="E101" s="6">
        <f>IF('2_Cleaned_Data'!D100="High Street",1,0)</f>
        <v>0</v>
      </c>
      <c r="F101" s="6">
        <f>IF('2_Cleaned_Data'!D100="Mall",1,0)</f>
        <v>1</v>
      </c>
    </row>
    <row r="102" spans="1:6" x14ac:dyDescent="0.45">
      <c r="A102" s="5" t="str">
        <f>'2_Cleaned_Data'!A101</f>
        <v>STR-1026</v>
      </c>
      <c r="B102" s="18">
        <f>'2_Cleaned_Data'!B101</f>
        <v>45717</v>
      </c>
      <c r="C102" s="5" t="str">
        <f>'2_Cleaned_Data'!D101</f>
        <v>Mall</v>
      </c>
      <c r="D102" s="6">
        <f>IF('2_Cleaned_Data'!D101="Airport",1,0)</f>
        <v>0</v>
      </c>
      <c r="E102" s="6">
        <f>IF('2_Cleaned_Data'!D101="High Street",1,0)</f>
        <v>0</v>
      </c>
      <c r="F102" s="6">
        <f>IF('2_Cleaned_Data'!D101="Mall",1,0)</f>
        <v>1</v>
      </c>
    </row>
    <row r="103" spans="1:6" x14ac:dyDescent="0.45">
      <c r="A103" s="5" t="str">
        <f>'2_Cleaned_Data'!A102</f>
        <v>STR-1026</v>
      </c>
      <c r="B103" s="18">
        <f>'2_Cleaned_Data'!B102</f>
        <v>45748</v>
      </c>
      <c r="C103" s="5" t="str">
        <f>'2_Cleaned_Data'!D102</f>
        <v>Mall</v>
      </c>
      <c r="D103" s="6">
        <f>IF('2_Cleaned_Data'!D102="Airport",1,0)</f>
        <v>0</v>
      </c>
      <c r="E103" s="6">
        <f>IF('2_Cleaned_Data'!D102="High Street",1,0)</f>
        <v>0</v>
      </c>
      <c r="F103" s="6">
        <f>IF('2_Cleaned_Data'!D102="Mall",1,0)</f>
        <v>1</v>
      </c>
    </row>
    <row r="104" spans="1:6" x14ac:dyDescent="0.45">
      <c r="A104" s="5" t="str">
        <f>'2_Cleaned_Data'!A103</f>
        <v>STR-1027</v>
      </c>
      <c r="B104" s="18">
        <f>'2_Cleaned_Data'!B103</f>
        <v>45658</v>
      </c>
      <c r="C104" s="5" t="str">
        <f>'2_Cleaned_Data'!D103</f>
        <v>High Street</v>
      </c>
      <c r="D104" s="6">
        <f>IF('2_Cleaned_Data'!D103="Airport",1,0)</f>
        <v>0</v>
      </c>
      <c r="E104" s="6">
        <f>IF('2_Cleaned_Data'!D103="High Street",1,0)</f>
        <v>1</v>
      </c>
      <c r="F104" s="6">
        <f>IF('2_Cleaned_Data'!D103="Mall",1,0)</f>
        <v>0</v>
      </c>
    </row>
    <row r="105" spans="1:6" x14ac:dyDescent="0.45">
      <c r="A105" s="5" t="str">
        <f>'2_Cleaned_Data'!A104</f>
        <v>STR-1027</v>
      </c>
      <c r="B105" s="18">
        <f>'2_Cleaned_Data'!B104</f>
        <v>45689</v>
      </c>
      <c r="C105" s="5" t="str">
        <f>'2_Cleaned_Data'!D104</f>
        <v>High Street</v>
      </c>
      <c r="D105" s="6">
        <f>IF('2_Cleaned_Data'!D104="Airport",1,0)</f>
        <v>0</v>
      </c>
      <c r="E105" s="6">
        <f>IF('2_Cleaned_Data'!D104="High Street",1,0)</f>
        <v>1</v>
      </c>
      <c r="F105" s="6">
        <f>IF('2_Cleaned_Data'!D104="Mall",1,0)</f>
        <v>0</v>
      </c>
    </row>
    <row r="106" spans="1:6" x14ac:dyDescent="0.45">
      <c r="A106" s="5" t="str">
        <f>'2_Cleaned_Data'!A105</f>
        <v>STR-1027</v>
      </c>
      <c r="B106" s="18">
        <f>'2_Cleaned_Data'!B105</f>
        <v>45717</v>
      </c>
      <c r="C106" s="5" t="str">
        <f>'2_Cleaned_Data'!D105</f>
        <v>High Street</v>
      </c>
      <c r="D106" s="6">
        <f>IF('2_Cleaned_Data'!D105="Airport",1,0)</f>
        <v>0</v>
      </c>
      <c r="E106" s="6">
        <f>IF('2_Cleaned_Data'!D105="High Street",1,0)</f>
        <v>1</v>
      </c>
      <c r="F106" s="6">
        <f>IF('2_Cleaned_Data'!D105="Mall",1,0)</f>
        <v>0</v>
      </c>
    </row>
    <row r="107" spans="1:6" x14ac:dyDescent="0.45">
      <c r="A107" s="5" t="str">
        <f>'2_Cleaned_Data'!A106</f>
        <v>STR-1027</v>
      </c>
      <c r="B107" s="18">
        <f>'2_Cleaned_Data'!B106</f>
        <v>45748</v>
      </c>
      <c r="C107" s="5" t="str">
        <f>'2_Cleaned_Data'!D106</f>
        <v>High Street</v>
      </c>
      <c r="D107" s="6">
        <f>IF('2_Cleaned_Data'!D106="Airport",1,0)</f>
        <v>0</v>
      </c>
      <c r="E107" s="6">
        <f>IF('2_Cleaned_Data'!D106="High Street",1,0)</f>
        <v>1</v>
      </c>
      <c r="F107" s="6">
        <f>IF('2_Cleaned_Data'!D106="Mall",1,0)</f>
        <v>0</v>
      </c>
    </row>
    <row r="108" spans="1:6" x14ac:dyDescent="0.45">
      <c r="A108" s="5" t="str">
        <f>'2_Cleaned_Data'!A107</f>
        <v>STR-1028</v>
      </c>
      <c r="B108" s="18">
        <f>'2_Cleaned_Data'!B107</f>
        <v>45658</v>
      </c>
      <c r="C108" s="5" t="str">
        <f>'2_Cleaned_Data'!D107</f>
        <v>Mall</v>
      </c>
      <c r="D108" s="6">
        <f>IF('2_Cleaned_Data'!D107="Airport",1,0)</f>
        <v>0</v>
      </c>
      <c r="E108" s="6">
        <f>IF('2_Cleaned_Data'!D107="High Street",1,0)</f>
        <v>0</v>
      </c>
      <c r="F108" s="6">
        <f>IF('2_Cleaned_Data'!D107="Mall",1,0)</f>
        <v>1</v>
      </c>
    </row>
    <row r="109" spans="1:6" x14ac:dyDescent="0.45">
      <c r="A109" s="5" t="str">
        <f>'2_Cleaned_Data'!A108</f>
        <v>STR-1028</v>
      </c>
      <c r="B109" s="18">
        <f>'2_Cleaned_Data'!B108</f>
        <v>45689</v>
      </c>
      <c r="C109" s="5" t="str">
        <f>'2_Cleaned_Data'!D108</f>
        <v>Mall</v>
      </c>
      <c r="D109" s="6">
        <f>IF('2_Cleaned_Data'!D108="Airport",1,0)</f>
        <v>0</v>
      </c>
      <c r="E109" s="6">
        <f>IF('2_Cleaned_Data'!D108="High Street",1,0)</f>
        <v>0</v>
      </c>
      <c r="F109" s="6">
        <f>IF('2_Cleaned_Data'!D108="Mall",1,0)</f>
        <v>1</v>
      </c>
    </row>
    <row r="110" spans="1:6" x14ac:dyDescent="0.45">
      <c r="A110" s="5" t="str">
        <f>'2_Cleaned_Data'!A109</f>
        <v>STR-1028</v>
      </c>
      <c r="B110" s="18">
        <f>'2_Cleaned_Data'!B109</f>
        <v>45717</v>
      </c>
      <c r="C110" s="5" t="str">
        <f>'2_Cleaned_Data'!D109</f>
        <v>Mall</v>
      </c>
      <c r="D110" s="6">
        <f>IF('2_Cleaned_Data'!D109="Airport",1,0)</f>
        <v>0</v>
      </c>
      <c r="E110" s="6">
        <f>IF('2_Cleaned_Data'!D109="High Street",1,0)</f>
        <v>0</v>
      </c>
      <c r="F110" s="6">
        <f>IF('2_Cleaned_Data'!D109="Mall",1,0)</f>
        <v>1</v>
      </c>
    </row>
    <row r="111" spans="1:6" x14ac:dyDescent="0.45">
      <c r="A111" s="5" t="str">
        <f>'2_Cleaned_Data'!A110</f>
        <v>STR-1028</v>
      </c>
      <c r="B111" s="18">
        <f>'2_Cleaned_Data'!B110</f>
        <v>45748</v>
      </c>
      <c r="C111" s="5" t="str">
        <f>'2_Cleaned_Data'!D110</f>
        <v>Mall</v>
      </c>
      <c r="D111" s="6">
        <f>IF('2_Cleaned_Data'!D110="Airport",1,0)</f>
        <v>0</v>
      </c>
      <c r="E111" s="6">
        <f>IF('2_Cleaned_Data'!D110="High Street",1,0)</f>
        <v>0</v>
      </c>
      <c r="F111" s="6">
        <f>IF('2_Cleaned_Data'!D110="Mall",1,0)</f>
        <v>1</v>
      </c>
    </row>
    <row r="112" spans="1:6" x14ac:dyDescent="0.45">
      <c r="A112" s="5" t="str">
        <f>'2_Cleaned_Data'!A111</f>
        <v>STR-1029</v>
      </c>
      <c r="B112" s="18">
        <f>'2_Cleaned_Data'!B111</f>
        <v>45658</v>
      </c>
      <c r="C112" s="5" t="str">
        <f>'2_Cleaned_Data'!D111</f>
        <v>Mall</v>
      </c>
      <c r="D112" s="6">
        <f>IF('2_Cleaned_Data'!D111="Airport",1,0)</f>
        <v>0</v>
      </c>
      <c r="E112" s="6">
        <f>IF('2_Cleaned_Data'!D111="High Street",1,0)</f>
        <v>0</v>
      </c>
      <c r="F112" s="6">
        <f>IF('2_Cleaned_Data'!D111="Mall",1,0)</f>
        <v>1</v>
      </c>
    </row>
    <row r="113" spans="1:6" x14ac:dyDescent="0.45">
      <c r="A113" s="5" t="str">
        <f>'2_Cleaned_Data'!A112</f>
        <v>STR-1029</v>
      </c>
      <c r="B113" s="18">
        <f>'2_Cleaned_Data'!B112</f>
        <v>45689</v>
      </c>
      <c r="C113" s="5" t="str">
        <f>'2_Cleaned_Data'!D112</f>
        <v>Mall</v>
      </c>
      <c r="D113" s="6">
        <f>IF('2_Cleaned_Data'!D112="Airport",1,0)</f>
        <v>0</v>
      </c>
      <c r="E113" s="6">
        <f>IF('2_Cleaned_Data'!D112="High Street",1,0)</f>
        <v>0</v>
      </c>
      <c r="F113" s="6">
        <f>IF('2_Cleaned_Data'!D112="Mall",1,0)</f>
        <v>1</v>
      </c>
    </row>
    <row r="114" spans="1:6" x14ac:dyDescent="0.45">
      <c r="A114" s="5" t="str">
        <f>'2_Cleaned_Data'!A113</f>
        <v>STR-1029</v>
      </c>
      <c r="B114" s="18">
        <f>'2_Cleaned_Data'!B113</f>
        <v>45717</v>
      </c>
      <c r="C114" s="5" t="str">
        <f>'2_Cleaned_Data'!D113</f>
        <v>Mall</v>
      </c>
      <c r="D114" s="6">
        <f>IF('2_Cleaned_Data'!D113="Airport",1,0)</f>
        <v>0</v>
      </c>
      <c r="E114" s="6">
        <f>IF('2_Cleaned_Data'!D113="High Street",1,0)</f>
        <v>0</v>
      </c>
      <c r="F114" s="6">
        <f>IF('2_Cleaned_Data'!D113="Mall",1,0)</f>
        <v>1</v>
      </c>
    </row>
    <row r="115" spans="1:6" x14ac:dyDescent="0.45">
      <c r="A115" s="5" t="str">
        <f>'2_Cleaned_Data'!A114</f>
        <v>STR-1029</v>
      </c>
      <c r="B115" s="18">
        <f>'2_Cleaned_Data'!B114</f>
        <v>45748</v>
      </c>
      <c r="C115" s="5" t="str">
        <f>'2_Cleaned_Data'!D114</f>
        <v>Mall</v>
      </c>
      <c r="D115" s="6">
        <f>IF('2_Cleaned_Data'!D114="Airport",1,0)</f>
        <v>0</v>
      </c>
      <c r="E115" s="6">
        <f>IF('2_Cleaned_Data'!D114="High Street",1,0)</f>
        <v>0</v>
      </c>
      <c r="F115" s="6">
        <f>IF('2_Cleaned_Data'!D114="Mall",1,0)</f>
        <v>1</v>
      </c>
    </row>
    <row r="116" spans="1:6" x14ac:dyDescent="0.45">
      <c r="A116" s="5" t="str">
        <f>'2_Cleaned_Data'!A115</f>
        <v>STR-1030</v>
      </c>
      <c r="B116" s="18">
        <f>'2_Cleaned_Data'!B115</f>
        <v>45658</v>
      </c>
      <c r="C116" s="5" t="str">
        <f>'2_Cleaned_Data'!D115</f>
        <v>Residential</v>
      </c>
      <c r="D116" s="6">
        <f>IF('2_Cleaned_Data'!D115="Airport",1,0)</f>
        <v>0</v>
      </c>
      <c r="E116" s="6">
        <f>IF('2_Cleaned_Data'!D115="High Street",1,0)</f>
        <v>0</v>
      </c>
      <c r="F116" s="6">
        <f>IF('2_Cleaned_Data'!D115="Mall",1,0)</f>
        <v>0</v>
      </c>
    </row>
    <row r="117" spans="1:6" x14ac:dyDescent="0.45">
      <c r="A117" s="5" t="str">
        <f>'2_Cleaned_Data'!A116</f>
        <v>STR-1030</v>
      </c>
      <c r="B117" s="18">
        <f>'2_Cleaned_Data'!B116</f>
        <v>45689</v>
      </c>
      <c r="C117" s="5" t="str">
        <f>'2_Cleaned_Data'!D116</f>
        <v>Residential</v>
      </c>
      <c r="D117" s="6">
        <f>IF('2_Cleaned_Data'!D116="Airport",1,0)</f>
        <v>0</v>
      </c>
      <c r="E117" s="6">
        <f>IF('2_Cleaned_Data'!D116="High Street",1,0)</f>
        <v>0</v>
      </c>
      <c r="F117" s="6">
        <f>IF('2_Cleaned_Data'!D116="Mall",1,0)</f>
        <v>0</v>
      </c>
    </row>
    <row r="118" spans="1:6" x14ac:dyDescent="0.45">
      <c r="A118" s="5" t="str">
        <f>'2_Cleaned_Data'!A117</f>
        <v>STR-1030</v>
      </c>
      <c r="B118" s="18">
        <f>'2_Cleaned_Data'!B117</f>
        <v>45717</v>
      </c>
      <c r="C118" s="5" t="str">
        <f>'2_Cleaned_Data'!D117</f>
        <v>Residential</v>
      </c>
      <c r="D118" s="6">
        <f>IF('2_Cleaned_Data'!D117="Airport",1,0)</f>
        <v>0</v>
      </c>
      <c r="E118" s="6">
        <f>IF('2_Cleaned_Data'!D117="High Street",1,0)</f>
        <v>0</v>
      </c>
      <c r="F118" s="6">
        <f>IF('2_Cleaned_Data'!D117="Mall",1,0)</f>
        <v>0</v>
      </c>
    </row>
    <row r="119" spans="1:6" x14ac:dyDescent="0.45">
      <c r="A119" s="5" t="str">
        <f>'2_Cleaned_Data'!A118</f>
        <v>STR-1030</v>
      </c>
      <c r="B119" s="18">
        <f>'2_Cleaned_Data'!B118</f>
        <v>45748</v>
      </c>
      <c r="C119" s="5" t="str">
        <f>'2_Cleaned_Data'!D118</f>
        <v>Residential</v>
      </c>
      <c r="D119" s="6">
        <f>IF('2_Cleaned_Data'!D118="Airport",1,0)</f>
        <v>0</v>
      </c>
      <c r="E119" s="6">
        <f>IF('2_Cleaned_Data'!D118="High Street",1,0)</f>
        <v>0</v>
      </c>
      <c r="F119" s="6">
        <f>IF('2_Cleaned_Data'!D118="Mall",1,0)</f>
        <v>0</v>
      </c>
    </row>
    <row r="120" spans="1:6" x14ac:dyDescent="0.45">
      <c r="A120" s="5" t="str">
        <f>'2_Cleaned_Data'!A119</f>
        <v>STR-1031</v>
      </c>
      <c r="B120" s="18">
        <f>'2_Cleaned_Data'!B119</f>
        <v>45658</v>
      </c>
      <c r="C120" s="5" t="str">
        <f>'2_Cleaned_Data'!D119</f>
        <v>High Street</v>
      </c>
      <c r="D120" s="6">
        <f>IF('2_Cleaned_Data'!D119="Airport",1,0)</f>
        <v>0</v>
      </c>
      <c r="E120" s="6">
        <f>IF('2_Cleaned_Data'!D119="High Street",1,0)</f>
        <v>1</v>
      </c>
      <c r="F120" s="6">
        <f>IF('2_Cleaned_Data'!D119="Mall",1,0)</f>
        <v>0</v>
      </c>
    </row>
    <row r="121" spans="1:6" x14ac:dyDescent="0.45">
      <c r="A121" s="5" t="str">
        <f>'2_Cleaned_Data'!A120</f>
        <v>STR-1031</v>
      </c>
      <c r="B121" s="18">
        <f>'2_Cleaned_Data'!B120</f>
        <v>45689</v>
      </c>
      <c r="C121" s="5" t="str">
        <f>'2_Cleaned_Data'!D120</f>
        <v>High Street</v>
      </c>
      <c r="D121" s="6">
        <f>IF('2_Cleaned_Data'!D120="Airport",1,0)</f>
        <v>0</v>
      </c>
      <c r="E121" s="6">
        <f>IF('2_Cleaned_Data'!D120="High Street",1,0)</f>
        <v>1</v>
      </c>
      <c r="F121" s="6">
        <f>IF('2_Cleaned_Data'!D120="Mall",1,0)</f>
        <v>0</v>
      </c>
    </row>
    <row r="122" spans="1:6" x14ac:dyDescent="0.45">
      <c r="A122" s="5" t="str">
        <f>'2_Cleaned_Data'!A121</f>
        <v>STR-1031</v>
      </c>
      <c r="B122" s="18">
        <f>'2_Cleaned_Data'!B121</f>
        <v>45717</v>
      </c>
      <c r="C122" s="5" t="str">
        <f>'2_Cleaned_Data'!D121</f>
        <v>High Street</v>
      </c>
      <c r="D122" s="6">
        <f>IF('2_Cleaned_Data'!D121="Airport",1,0)</f>
        <v>0</v>
      </c>
      <c r="E122" s="6">
        <f>IF('2_Cleaned_Data'!D121="High Street",1,0)</f>
        <v>1</v>
      </c>
      <c r="F122" s="6">
        <f>IF('2_Cleaned_Data'!D121="Mall",1,0)</f>
        <v>0</v>
      </c>
    </row>
    <row r="123" spans="1:6" x14ac:dyDescent="0.45">
      <c r="A123" s="5" t="str">
        <f>'2_Cleaned_Data'!A122</f>
        <v>STR-1031</v>
      </c>
      <c r="B123" s="18">
        <f>'2_Cleaned_Data'!B122</f>
        <v>45748</v>
      </c>
      <c r="C123" s="5" t="str">
        <f>'2_Cleaned_Data'!D122</f>
        <v>High Street</v>
      </c>
      <c r="D123" s="6">
        <f>IF('2_Cleaned_Data'!D122="Airport",1,0)</f>
        <v>0</v>
      </c>
      <c r="E123" s="6">
        <f>IF('2_Cleaned_Data'!D122="High Street",1,0)</f>
        <v>1</v>
      </c>
      <c r="F123" s="6">
        <f>IF('2_Cleaned_Data'!D122="Mall",1,0)</f>
        <v>0</v>
      </c>
    </row>
    <row r="124" spans="1:6" x14ac:dyDescent="0.45">
      <c r="A124" s="5" t="str">
        <f>'2_Cleaned_Data'!A123</f>
        <v>STR-1032</v>
      </c>
      <c r="B124" s="18">
        <f>'2_Cleaned_Data'!B123</f>
        <v>45658</v>
      </c>
      <c r="C124" s="5" t="str">
        <f>'2_Cleaned_Data'!D123</f>
        <v>High Street</v>
      </c>
      <c r="D124" s="6">
        <f>IF('2_Cleaned_Data'!D123="Airport",1,0)</f>
        <v>0</v>
      </c>
      <c r="E124" s="6">
        <f>IF('2_Cleaned_Data'!D123="High Street",1,0)</f>
        <v>1</v>
      </c>
      <c r="F124" s="6">
        <f>IF('2_Cleaned_Data'!D123="Mall",1,0)</f>
        <v>0</v>
      </c>
    </row>
    <row r="125" spans="1:6" x14ac:dyDescent="0.45">
      <c r="A125" s="5" t="str">
        <f>'2_Cleaned_Data'!A124</f>
        <v>STR-1032</v>
      </c>
      <c r="B125" s="18">
        <f>'2_Cleaned_Data'!B124</f>
        <v>45689</v>
      </c>
      <c r="C125" s="5" t="str">
        <f>'2_Cleaned_Data'!D124</f>
        <v>High Street</v>
      </c>
      <c r="D125" s="6">
        <f>IF('2_Cleaned_Data'!D124="Airport",1,0)</f>
        <v>0</v>
      </c>
      <c r="E125" s="6">
        <f>IF('2_Cleaned_Data'!D124="High Street",1,0)</f>
        <v>1</v>
      </c>
      <c r="F125" s="6">
        <f>IF('2_Cleaned_Data'!D124="Mall",1,0)</f>
        <v>0</v>
      </c>
    </row>
    <row r="126" spans="1:6" x14ac:dyDescent="0.45">
      <c r="A126" s="5" t="str">
        <f>'2_Cleaned_Data'!A125</f>
        <v>STR-1032</v>
      </c>
      <c r="B126" s="18">
        <f>'2_Cleaned_Data'!B125</f>
        <v>45717</v>
      </c>
      <c r="C126" s="5" t="str">
        <f>'2_Cleaned_Data'!D125</f>
        <v>High Street</v>
      </c>
      <c r="D126" s="6">
        <f>IF('2_Cleaned_Data'!D125="Airport",1,0)</f>
        <v>0</v>
      </c>
      <c r="E126" s="6">
        <f>IF('2_Cleaned_Data'!D125="High Street",1,0)</f>
        <v>1</v>
      </c>
      <c r="F126" s="6">
        <f>IF('2_Cleaned_Data'!D125="Mall",1,0)</f>
        <v>0</v>
      </c>
    </row>
    <row r="127" spans="1:6" x14ac:dyDescent="0.45">
      <c r="A127" s="5" t="str">
        <f>'2_Cleaned_Data'!A126</f>
        <v>STR-1032</v>
      </c>
      <c r="B127" s="18">
        <f>'2_Cleaned_Data'!B126</f>
        <v>45748</v>
      </c>
      <c r="C127" s="5" t="str">
        <f>'2_Cleaned_Data'!D126</f>
        <v>High Street</v>
      </c>
      <c r="D127" s="6">
        <f>IF('2_Cleaned_Data'!D126="Airport",1,0)</f>
        <v>0</v>
      </c>
      <c r="E127" s="6">
        <f>IF('2_Cleaned_Data'!D126="High Street",1,0)</f>
        <v>1</v>
      </c>
      <c r="F127" s="6">
        <f>IF('2_Cleaned_Data'!D126="Mall",1,0)</f>
        <v>0</v>
      </c>
    </row>
    <row r="128" spans="1:6" x14ac:dyDescent="0.45">
      <c r="A128" s="5" t="str">
        <f>'2_Cleaned_Data'!A127</f>
        <v>STR-1033</v>
      </c>
      <c r="B128" s="18">
        <f>'2_Cleaned_Data'!B127</f>
        <v>45658</v>
      </c>
      <c r="C128" s="5" t="str">
        <f>'2_Cleaned_Data'!D127</f>
        <v>High Street</v>
      </c>
      <c r="D128" s="6">
        <f>IF('2_Cleaned_Data'!D127="Airport",1,0)</f>
        <v>0</v>
      </c>
      <c r="E128" s="6">
        <f>IF('2_Cleaned_Data'!D127="High Street",1,0)</f>
        <v>1</v>
      </c>
      <c r="F128" s="6">
        <f>IF('2_Cleaned_Data'!D127="Mall",1,0)</f>
        <v>0</v>
      </c>
    </row>
    <row r="129" spans="1:6" x14ac:dyDescent="0.45">
      <c r="A129" s="5" t="str">
        <f>'2_Cleaned_Data'!A128</f>
        <v>STR-1033</v>
      </c>
      <c r="B129" s="18">
        <f>'2_Cleaned_Data'!B128</f>
        <v>45689</v>
      </c>
      <c r="C129" s="5" t="str">
        <f>'2_Cleaned_Data'!D128</f>
        <v>High Street</v>
      </c>
      <c r="D129" s="6">
        <f>IF('2_Cleaned_Data'!D128="Airport",1,0)</f>
        <v>0</v>
      </c>
      <c r="E129" s="6">
        <f>IF('2_Cleaned_Data'!D128="High Street",1,0)</f>
        <v>1</v>
      </c>
      <c r="F129" s="6">
        <f>IF('2_Cleaned_Data'!D128="Mall",1,0)</f>
        <v>0</v>
      </c>
    </row>
    <row r="130" spans="1:6" x14ac:dyDescent="0.45">
      <c r="A130" s="5" t="str">
        <f>'2_Cleaned_Data'!A129</f>
        <v>STR-1033</v>
      </c>
      <c r="B130" s="18">
        <f>'2_Cleaned_Data'!B129</f>
        <v>45717</v>
      </c>
      <c r="C130" s="5" t="str">
        <f>'2_Cleaned_Data'!D129</f>
        <v>High Street</v>
      </c>
      <c r="D130" s="6">
        <f>IF('2_Cleaned_Data'!D129="Airport",1,0)</f>
        <v>0</v>
      </c>
      <c r="E130" s="6">
        <f>IF('2_Cleaned_Data'!D129="High Street",1,0)</f>
        <v>1</v>
      </c>
      <c r="F130" s="6">
        <f>IF('2_Cleaned_Data'!D129="Mall",1,0)</f>
        <v>0</v>
      </c>
    </row>
    <row r="131" spans="1:6" x14ac:dyDescent="0.45">
      <c r="A131" s="5" t="str">
        <f>'2_Cleaned_Data'!A130</f>
        <v>STR-1033</v>
      </c>
      <c r="B131" s="18">
        <f>'2_Cleaned_Data'!B130</f>
        <v>45748</v>
      </c>
      <c r="C131" s="5" t="str">
        <f>'2_Cleaned_Data'!D130</f>
        <v>High Street</v>
      </c>
      <c r="D131" s="6">
        <f>IF('2_Cleaned_Data'!D130="Airport",1,0)</f>
        <v>0</v>
      </c>
      <c r="E131" s="6">
        <f>IF('2_Cleaned_Data'!D130="High Street",1,0)</f>
        <v>1</v>
      </c>
      <c r="F131" s="6">
        <f>IF('2_Cleaned_Data'!D130="Mall",1,0)</f>
        <v>0</v>
      </c>
    </row>
    <row r="132" spans="1:6" x14ac:dyDescent="0.45">
      <c r="A132" s="5" t="str">
        <f>'2_Cleaned_Data'!A131</f>
        <v>STR-1034</v>
      </c>
      <c r="B132" s="18">
        <f>'2_Cleaned_Data'!B131</f>
        <v>45658</v>
      </c>
      <c r="C132" s="5" t="str">
        <f>'2_Cleaned_Data'!D131</f>
        <v>High Street</v>
      </c>
      <c r="D132" s="6">
        <f>IF('2_Cleaned_Data'!D131="Airport",1,0)</f>
        <v>0</v>
      </c>
      <c r="E132" s="6">
        <f>IF('2_Cleaned_Data'!D131="High Street",1,0)</f>
        <v>1</v>
      </c>
      <c r="F132" s="6">
        <f>IF('2_Cleaned_Data'!D131="Mall",1,0)</f>
        <v>0</v>
      </c>
    </row>
    <row r="133" spans="1:6" x14ac:dyDescent="0.45">
      <c r="A133" s="5" t="str">
        <f>'2_Cleaned_Data'!A132</f>
        <v>STR-1034</v>
      </c>
      <c r="B133" s="18">
        <f>'2_Cleaned_Data'!B132</f>
        <v>45717</v>
      </c>
      <c r="C133" s="5" t="str">
        <f>'2_Cleaned_Data'!D132</f>
        <v>High Street</v>
      </c>
      <c r="D133" s="6">
        <f>IF('2_Cleaned_Data'!D132="Airport",1,0)</f>
        <v>0</v>
      </c>
      <c r="E133" s="6">
        <f>IF('2_Cleaned_Data'!D132="High Street",1,0)</f>
        <v>1</v>
      </c>
      <c r="F133" s="6">
        <f>IF('2_Cleaned_Data'!D132="Mall",1,0)</f>
        <v>0</v>
      </c>
    </row>
    <row r="134" spans="1:6" x14ac:dyDescent="0.45">
      <c r="A134" s="5" t="str">
        <f>'2_Cleaned_Data'!A133</f>
        <v>STR-1034</v>
      </c>
      <c r="B134" s="18">
        <f>'2_Cleaned_Data'!B133</f>
        <v>45748</v>
      </c>
      <c r="C134" s="5" t="str">
        <f>'2_Cleaned_Data'!D133</f>
        <v>High Street</v>
      </c>
      <c r="D134" s="6">
        <f>IF('2_Cleaned_Data'!D133="Airport",1,0)</f>
        <v>0</v>
      </c>
      <c r="E134" s="6">
        <f>IF('2_Cleaned_Data'!D133="High Street",1,0)</f>
        <v>1</v>
      </c>
      <c r="F134" s="6">
        <f>IF('2_Cleaned_Data'!D133="Mall",1,0)</f>
        <v>0</v>
      </c>
    </row>
    <row r="135" spans="1:6" x14ac:dyDescent="0.45">
      <c r="A135" s="5" t="str">
        <f>'2_Cleaned_Data'!A134</f>
        <v>STR-1035</v>
      </c>
      <c r="B135" s="18">
        <f>'2_Cleaned_Data'!B134</f>
        <v>45689</v>
      </c>
      <c r="C135" s="5" t="str">
        <f>'2_Cleaned_Data'!D134</f>
        <v>Residential</v>
      </c>
      <c r="D135" s="6">
        <f>IF('2_Cleaned_Data'!D134="Airport",1,0)</f>
        <v>0</v>
      </c>
      <c r="E135" s="6">
        <f>IF('2_Cleaned_Data'!D134="High Street",1,0)</f>
        <v>0</v>
      </c>
      <c r="F135" s="6">
        <f>IF('2_Cleaned_Data'!D134="Mall",1,0)</f>
        <v>0</v>
      </c>
    </row>
    <row r="136" spans="1:6" x14ac:dyDescent="0.45">
      <c r="A136" s="5" t="str">
        <f>'2_Cleaned_Data'!A135</f>
        <v>STR-1035</v>
      </c>
      <c r="B136" s="18">
        <f>'2_Cleaned_Data'!B135</f>
        <v>45717</v>
      </c>
      <c r="C136" s="5" t="str">
        <f>'2_Cleaned_Data'!D135</f>
        <v>Residential</v>
      </c>
      <c r="D136" s="6">
        <f>IF('2_Cleaned_Data'!D135="Airport",1,0)</f>
        <v>0</v>
      </c>
      <c r="E136" s="6">
        <f>IF('2_Cleaned_Data'!D135="High Street",1,0)</f>
        <v>0</v>
      </c>
      <c r="F136" s="6">
        <f>IF('2_Cleaned_Data'!D135="Mall",1,0)</f>
        <v>0</v>
      </c>
    </row>
    <row r="137" spans="1:6" x14ac:dyDescent="0.45">
      <c r="A137" s="5" t="str">
        <f>'2_Cleaned_Data'!A136</f>
        <v>STR-1035</v>
      </c>
      <c r="B137" s="18">
        <f>'2_Cleaned_Data'!B136</f>
        <v>45748</v>
      </c>
      <c r="C137" s="5" t="str">
        <f>'2_Cleaned_Data'!D136</f>
        <v>Residential</v>
      </c>
      <c r="D137" s="6">
        <f>IF('2_Cleaned_Data'!D136="Airport",1,0)</f>
        <v>0</v>
      </c>
      <c r="E137" s="6">
        <f>IF('2_Cleaned_Data'!D136="High Street",1,0)</f>
        <v>0</v>
      </c>
      <c r="F137" s="6">
        <f>IF('2_Cleaned_Data'!D136="Mall",1,0)</f>
        <v>0</v>
      </c>
    </row>
    <row r="138" spans="1:6" x14ac:dyDescent="0.45">
      <c r="A138" s="5" t="str">
        <f>'2_Cleaned_Data'!A137</f>
        <v>STR-1036</v>
      </c>
      <c r="B138" s="18">
        <f>'2_Cleaned_Data'!B137</f>
        <v>45658</v>
      </c>
      <c r="C138" s="5" t="str">
        <f>'2_Cleaned_Data'!D137</f>
        <v>High Street</v>
      </c>
      <c r="D138" s="6">
        <f>IF('2_Cleaned_Data'!D137="Airport",1,0)</f>
        <v>0</v>
      </c>
      <c r="E138" s="6">
        <f>IF('2_Cleaned_Data'!D137="High Street",1,0)</f>
        <v>1</v>
      </c>
      <c r="F138" s="6">
        <f>IF('2_Cleaned_Data'!D137="Mall",1,0)</f>
        <v>0</v>
      </c>
    </row>
    <row r="139" spans="1:6" x14ac:dyDescent="0.45">
      <c r="A139" s="5" t="str">
        <f>'2_Cleaned_Data'!A138</f>
        <v>STR-1036</v>
      </c>
      <c r="B139" s="18">
        <f>'2_Cleaned_Data'!B138</f>
        <v>45689</v>
      </c>
      <c r="C139" s="5" t="str">
        <f>'2_Cleaned_Data'!D138</f>
        <v>High Street</v>
      </c>
      <c r="D139" s="6">
        <f>IF('2_Cleaned_Data'!D138="Airport",1,0)</f>
        <v>0</v>
      </c>
      <c r="E139" s="6">
        <f>IF('2_Cleaned_Data'!D138="High Street",1,0)</f>
        <v>1</v>
      </c>
      <c r="F139" s="6">
        <f>IF('2_Cleaned_Data'!D138="Mall",1,0)</f>
        <v>0</v>
      </c>
    </row>
    <row r="140" spans="1:6" x14ac:dyDescent="0.45">
      <c r="A140" s="5" t="str">
        <f>'2_Cleaned_Data'!A139</f>
        <v>STR-1036</v>
      </c>
      <c r="B140" s="18">
        <f>'2_Cleaned_Data'!B139</f>
        <v>45717</v>
      </c>
      <c r="C140" s="5" t="str">
        <f>'2_Cleaned_Data'!D139</f>
        <v>High Street</v>
      </c>
      <c r="D140" s="6">
        <f>IF('2_Cleaned_Data'!D139="Airport",1,0)</f>
        <v>0</v>
      </c>
      <c r="E140" s="6">
        <f>IF('2_Cleaned_Data'!D139="High Street",1,0)</f>
        <v>1</v>
      </c>
      <c r="F140" s="6">
        <f>IF('2_Cleaned_Data'!D139="Mall",1,0)</f>
        <v>0</v>
      </c>
    </row>
    <row r="141" spans="1:6" x14ac:dyDescent="0.45">
      <c r="A141" s="5" t="str">
        <f>'2_Cleaned_Data'!A140</f>
        <v>STR-1036</v>
      </c>
      <c r="B141" s="18">
        <f>'2_Cleaned_Data'!B140</f>
        <v>45748</v>
      </c>
      <c r="C141" s="5" t="str">
        <f>'2_Cleaned_Data'!D140</f>
        <v>High Street</v>
      </c>
      <c r="D141" s="6">
        <f>IF('2_Cleaned_Data'!D140="Airport",1,0)</f>
        <v>0</v>
      </c>
      <c r="E141" s="6">
        <f>IF('2_Cleaned_Data'!D140="High Street",1,0)</f>
        <v>1</v>
      </c>
      <c r="F141" s="6">
        <f>IF('2_Cleaned_Data'!D140="Mall",1,0)</f>
        <v>0</v>
      </c>
    </row>
    <row r="142" spans="1:6" x14ac:dyDescent="0.45">
      <c r="A142" s="5" t="str">
        <f>'2_Cleaned_Data'!A141</f>
        <v>STR-1037</v>
      </c>
      <c r="B142" s="18">
        <f>'2_Cleaned_Data'!B141</f>
        <v>45658</v>
      </c>
      <c r="C142" s="5" t="str">
        <f>'2_Cleaned_Data'!D141</f>
        <v>Residential</v>
      </c>
      <c r="D142" s="6">
        <f>IF('2_Cleaned_Data'!D141="Airport",1,0)</f>
        <v>0</v>
      </c>
      <c r="E142" s="6">
        <f>IF('2_Cleaned_Data'!D141="High Street",1,0)</f>
        <v>0</v>
      </c>
      <c r="F142" s="6">
        <f>IF('2_Cleaned_Data'!D141="Mall",1,0)</f>
        <v>0</v>
      </c>
    </row>
    <row r="143" spans="1:6" x14ac:dyDescent="0.45">
      <c r="A143" s="5" t="str">
        <f>'2_Cleaned_Data'!A142</f>
        <v>STR-1037</v>
      </c>
      <c r="B143" s="18">
        <f>'2_Cleaned_Data'!B142</f>
        <v>45689</v>
      </c>
      <c r="C143" s="5" t="str">
        <f>'2_Cleaned_Data'!D142</f>
        <v>Residential</v>
      </c>
      <c r="D143" s="6">
        <f>IF('2_Cleaned_Data'!D142="Airport",1,0)</f>
        <v>0</v>
      </c>
      <c r="E143" s="6">
        <f>IF('2_Cleaned_Data'!D142="High Street",1,0)</f>
        <v>0</v>
      </c>
      <c r="F143" s="6">
        <f>IF('2_Cleaned_Data'!D142="Mall",1,0)</f>
        <v>0</v>
      </c>
    </row>
    <row r="144" spans="1:6" x14ac:dyDescent="0.45">
      <c r="A144" s="5" t="str">
        <f>'2_Cleaned_Data'!A143</f>
        <v>STR-1037</v>
      </c>
      <c r="B144" s="18">
        <f>'2_Cleaned_Data'!B143</f>
        <v>45717</v>
      </c>
      <c r="C144" s="5" t="str">
        <f>'2_Cleaned_Data'!D143</f>
        <v>Residential</v>
      </c>
      <c r="D144" s="6">
        <f>IF('2_Cleaned_Data'!D143="Airport",1,0)</f>
        <v>0</v>
      </c>
      <c r="E144" s="6">
        <f>IF('2_Cleaned_Data'!D143="High Street",1,0)</f>
        <v>0</v>
      </c>
      <c r="F144" s="6">
        <f>IF('2_Cleaned_Data'!D143="Mall",1,0)</f>
        <v>0</v>
      </c>
    </row>
    <row r="145" spans="1:6" x14ac:dyDescent="0.45">
      <c r="A145" s="5" t="str">
        <f>'2_Cleaned_Data'!A144</f>
        <v>STR-1037</v>
      </c>
      <c r="B145" s="18">
        <f>'2_Cleaned_Data'!B144</f>
        <v>45748</v>
      </c>
      <c r="C145" s="5" t="str">
        <f>'2_Cleaned_Data'!D144</f>
        <v>Residential</v>
      </c>
      <c r="D145" s="6">
        <f>IF('2_Cleaned_Data'!D144="Airport",1,0)</f>
        <v>0</v>
      </c>
      <c r="E145" s="6">
        <f>IF('2_Cleaned_Data'!D144="High Street",1,0)</f>
        <v>0</v>
      </c>
      <c r="F145" s="6">
        <f>IF('2_Cleaned_Data'!D144="Mall",1,0)</f>
        <v>0</v>
      </c>
    </row>
    <row r="146" spans="1:6" x14ac:dyDescent="0.45">
      <c r="A146" s="5" t="str">
        <f>'2_Cleaned_Data'!A145</f>
        <v>STR-1038</v>
      </c>
      <c r="B146" s="18">
        <f>'2_Cleaned_Data'!B145</f>
        <v>45658</v>
      </c>
      <c r="C146" s="5" t="str">
        <f>'2_Cleaned_Data'!D145</f>
        <v>Mall</v>
      </c>
      <c r="D146" s="6">
        <f>IF('2_Cleaned_Data'!D145="Airport",1,0)</f>
        <v>0</v>
      </c>
      <c r="E146" s="6">
        <f>IF('2_Cleaned_Data'!D145="High Street",1,0)</f>
        <v>0</v>
      </c>
      <c r="F146" s="6">
        <f>IF('2_Cleaned_Data'!D145="Mall",1,0)</f>
        <v>1</v>
      </c>
    </row>
    <row r="147" spans="1:6" x14ac:dyDescent="0.45">
      <c r="A147" s="5" t="str">
        <f>'2_Cleaned_Data'!A146</f>
        <v>STR-1038</v>
      </c>
      <c r="B147" s="18">
        <f>'2_Cleaned_Data'!B146</f>
        <v>45689</v>
      </c>
      <c r="C147" s="5" t="str">
        <f>'2_Cleaned_Data'!D146</f>
        <v>Mall</v>
      </c>
      <c r="D147" s="6">
        <f>IF('2_Cleaned_Data'!D146="Airport",1,0)</f>
        <v>0</v>
      </c>
      <c r="E147" s="6">
        <f>IF('2_Cleaned_Data'!D146="High Street",1,0)</f>
        <v>0</v>
      </c>
      <c r="F147" s="6">
        <f>IF('2_Cleaned_Data'!D146="Mall",1,0)</f>
        <v>1</v>
      </c>
    </row>
    <row r="148" spans="1:6" x14ac:dyDescent="0.45">
      <c r="A148" s="5" t="str">
        <f>'2_Cleaned_Data'!A147</f>
        <v>STR-1038</v>
      </c>
      <c r="B148" s="18">
        <f>'2_Cleaned_Data'!B147</f>
        <v>45717</v>
      </c>
      <c r="C148" s="5" t="str">
        <f>'2_Cleaned_Data'!D147</f>
        <v>Mall</v>
      </c>
      <c r="D148" s="6">
        <f>IF('2_Cleaned_Data'!D147="Airport",1,0)</f>
        <v>0</v>
      </c>
      <c r="E148" s="6">
        <f>IF('2_Cleaned_Data'!D147="High Street",1,0)</f>
        <v>0</v>
      </c>
      <c r="F148" s="6">
        <f>IF('2_Cleaned_Data'!D147="Mall",1,0)</f>
        <v>1</v>
      </c>
    </row>
    <row r="149" spans="1:6" x14ac:dyDescent="0.45">
      <c r="A149" s="5" t="str">
        <f>'2_Cleaned_Data'!A148</f>
        <v>STR-1038</v>
      </c>
      <c r="B149" s="18">
        <f>'2_Cleaned_Data'!B148</f>
        <v>45748</v>
      </c>
      <c r="C149" s="5" t="str">
        <f>'2_Cleaned_Data'!D148</f>
        <v>Mall</v>
      </c>
      <c r="D149" s="6">
        <f>IF('2_Cleaned_Data'!D148="Airport",1,0)</f>
        <v>0</v>
      </c>
      <c r="E149" s="6">
        <f>IF('2_Cleaned_Data'!D148="High Street",1,0)</f>
        <v>0</v>
      </c>
      <c r="F149" s="6">
        <f>IF('2_Cleaned_Data'!D148="Mall",1,0)</f>
        <v>1</v>
      </c>
    </row>
    <row r="150" spans="1:6" x14ac:dyDescent="0.45">
      <c r="A150" s="5" t="str">
        <f>'2_Cleaned_Data'!A149</f>
        <v>STR-1039</v>
      </c>
      <c r="B150" s="18">
        <f>'2_Cleaned_Data'!B149</f>
        <v>45658</v>
      </c>
      <c r="C150" s="5" t="str">
        <f>'2_Cleaned_Data'!D149</f>
        <v>High Street</v>
      </c>
      <c r="D150" s="6">
        <f>IF('2_Cleaned_Data'!D149="Airport",1,0)</f>
        <v>0</v>
      </c>
      <c r="E150" s="6">
        <f>IF('2_Cleaned_Data'!D149="High Street",1,0)</f>
        <v>1</v>
      </c>
      <c r="F150" s="6">
        <f>IF('2_Cleaned_Data'!D149="Mall",1,0)</f>
        <v>0</v>
      </c>
    </row>
    <row r="151" spans="1:6" x14ac:dyDescent="0.45">
      <c r="A151" s="5" t="str">
        <f>'2_Cleaned_Data'!A150</f>
        <v>STR-1039</v>
      </c>
      <c r="B151" s="18">
        <f>'2_Cleaned_Data'!B150</f>
        <v>45689</v>
      </c>
      <c r="C151" s="5" t="str">
        <f>'2_Cleaned_Data'!D150</f>
        <v>High Street</v>
      </c>
      <c r="D151" s="6">
        <f>IF('2_Cleaned_Data'!D150="Airport",1,0)</f>
        <v>0</v>
      </c>
      <c r="E151" s="6">
        <f>IF('2_Cleaned_Data'!D150="High Street",1,0)</f>
        <v>1</v>
      </c>
      <c r="F151" s="6">
        <f>IF('2_Cleaned_Data'!D150="Mall",1,0)</f>
        <v>0</v>
      </c>
    </row>
    <row r="152" spans="1:6" x14ac:dyDescent="0.45">
      <c r="A152" s="5" t="str">
        <f>'2_Cleaned_Data'!A151</f>
        <v>STR-1039</v>
      </c>
      <c r="B152" s="18">
        <f>'2_Cleaned_Data'!B151</f>
        <v>45717</v>
      </c>
      <c r="C152" s="5" t="str">
        <f>'2_Cleaned_Data'!D151</f>
        <v>High Street</v>
      </c>
      <c r="D152" s="6">
        <f>IF('2_Cleaned_Data'!D151="Airport",1,0)</f>
        <v>0</v>
      </c>
      <c r="E152" s="6">
        <f>IF('2_Cleaned_Data'!D151="High Street",1,0)</f>
        <v>1</v>
      </c>
      <c r="F152" s="6">
        <f>IF('2_Cleaned_Data'!D151="Mall",1,0)</f>
        <v>0</v>
      </c>
    </row>
    <row r="153" spans="1:6" x14ac:dyDescent="0.45">
      <c r="A153" s="5" t="str">
        <f>'2_Cleaned_Data'!A152</f>
        <v>STR-1039</v>
      </c>
      <c r="B153" s="18">
        <f>'2_Cleaned_Data'!B152</f>
        <v>45748</v>
      </c>
      <c r="C153" s="5" t="str">
        <f>'2_Cleaned_Data'!D152</f>
        <v>High Street</v>
      </c>
      <c r="D153" s="6">
        <f>IF('2_Cleaned_Data'!D152="Airport",1,0)</f>
        <v>0</v>
      </c>
      <c r="E153" s="6">
        <f>IF('2_Cleaned_Data'!D152="High Street",1,0)</f>
        <v>1</v>
      </c>
      <c r="F153" s="6">
        <f>IF('2_Cleaned_Data'!D152="Mall",1,0)</f>
        <v>0</v>
      </c>
    </row>
    <row r="154" spans="1:6" x14ac:dyDescent="0.45">
      <c r="A154" s="5" t="str">
        <f>'2_Cleaned_Data'!A153</f>
        <v>STR-1040</v>
      </c>
      <c r="B154" s="18">
        <f>'2_Cleaned_Data'!B153</f>
        <v>45658</v>
      </c>
      <c r="C154" s="5" t="str">
        <f>'2_Cleaned_Data'!D153</f>
        <v>Mall</v>
      </c>
      <c r="D154" s="6">
        <f>IF('2_Cleaned_Data'!D153="Airport",1,0)</f>
        <v>0</v>
      </c>
      <c r="E154" s="6">
        <f>IF('2_Cleaned_Data'!D153="High Street",1,0)</f>
        <v>0</v>
      </c>
      <c r="F154" s="6">
        <f>IF('2_Cleaned_Data'!D153="Mall",1,0)</f>
        <v>1</v>
      </c>
    </row>
    <row r="155" spans="1:6" x14ac:dyDescent="0.45">
      <c r="A155" s="5" t="str">
        <f>'2_Cleaned_Data'!A154</f>
        <v>STR-1040</v>
      </c>
      <c r="B155" s="18">
        <f>'2_Cleaned_Data'!B154</f>
        <v>45689</v>
      </c>
      <c r="C155" s="5" t="str">
        <f>'2_Cleaned_Data'!D154</f>
        <v>Mall</v>
      </c>
      <c r="D155" s="6">
        <f>IF('2_Cleaned_Data'!D154="Airport",1,0)</f>
        <v>0</v>
      </c>
      <c r="E155" s="6">
        <f>IF('2_Cleaned_Data'!D154="High Street",1,0)</f>
        <v>0</v>
      </c>
      <c r="F155" s="6">
        <f>IF('2_Cleaned_Data'!D154="Mall",1,0)</f>
        <v>1</v>
      </c>
    </row>
    <row r="156" spans="1:6" x14ac:dyDescent="0.45">
      <c r="A156" s="5" t="str">
        <f>'2_Cleaned_Data'!A155</f>
        <v>STR-1040</v>
      </c>
      <c r="B156" s="18">
        <f>'2_Cleaned_Data'!B155</f>
        <v>45717</v>
      </c>
      <c r="C156" s="5" t="str">
        <f>'2_Cleaned_Data'!D155</f>
        <v>Mall</v>
      </c>
      <c r="D156" s="6">
        <f>IF('2_Cleaned_Data'!D155="Airport",1,0)</f>
        <v>0</v>
      </c>
      <c r="E156" s="6">
        <f>IF('2_Cleaned_Data'!D155="High Street",1,0)</f>
        <v>0</v>
      </c>
      <c r="F156" s="6">
        <f>IF('2_Cleaned_Data'!D155="Mall",1,0)</f>
        <v>1</v>
      </c>
    </row>
    <row r="157" spans="1:6" x14ac:dyDescent="0.45">
      <c r="A157" s="5" t="str">
        <f>'2_Cleaned_Data'!A156</f>
        <v>STR-1040</v>
      </c>
      <c r="B157" s="18">
        <f>'2_Cleaned_Data'!B156</f>
        <v>45748</v>
      </c>
      <c r="C157" s="5" t="str">
        <f>'2_Cleaned_Data'!D156</f>
        <v>Mall</v>
      </c>
      <c r="D157" s="6">
        <f>IF('2_Cleaned_Data'!D156="Airport",1,0)</f>
        <v>0</v>
      </c>
      <c r="E157" s="6">
        <f>IF('2_Cleaned_Data'!D156="High Street",1,0)</f>
        <v>0</v>
      </c>
      <c r="F157" s="6">
        <f>IF('2_Cleaned_Data'!D156="Mall",1,0)</f>
        <v>1</v>
      </c>
    </row>
    <row r="158" spans="1:6" x14ac:dyDescent="0.45">
      <c r="A158" s="5" t="str">
        <f>'2_Cleaned_Data'!A157</f>
        <v>STR-1041</v>
      </c>
      <c r="B158" s="18">
        <f>'2_Cleaned_Data'!B157</f>
        <v>45658</v>
      </c>
      <c r="C158" s="5" t="str">
        <f>'2_Cleaned_Data'!D157</f>
        <v>High Street</v>
      </c>
      <c r="D158" s="6">
        <f>IF('2_Cleaned_Data'!D157="Airport",1,0)</f>
        <v>0</v>
      </c>
      <c r="E158" s="6">
        <f>IF('2_Cleaned_Data'!D157="High Street",1,0)</f>
        <v>1</v>
      </c>
      <c r="F158" s="6">
        <f>IF('2_Cleaned_Data'!D157="Mall",1,0)</f>
        <v>0</v>
      </c>
    </row>
    <row r="159" spans="1:6" x14ac:dyDescent="0.45">
      <c r="A159" s="5" t="str">
        <f>'2_Cleaned_Data'!A158</f>
        <v>STR-1041</v>
      </c>
      <c r="B159" s="18">
        <f>'2_Cleaned_Data'!B158</f>
        <v>45689</v>
      </c>
      <c r="C159" s="5" t="str">
        <f>'2_Cleaned_Data'!D158</f>
        <v>High Street</v>
      </c>
      <c r="D159" s="6">
        <f>IF('2_Cleaned_Data'!D158="Airport",1,0)</f>
        <v>0</v>
      </c>
      <c r="E159" s="6">
        <f>IF('2_Cleaned_Data'!D158="High Street",1,0)</f>
        <v>1</v>
      </c>
      <c r="F159" s="6">
        <f>IF('2_Cleaned_Data'!D158="Mall",1,0)</f>
        <v>0</v>
      </c>
    </row>
    <row r="160" spans="1:6" x14ac:dyDescent="0.45">
      <c r="A160" s="5" t="str">
        <f>'2_Cleaned_Data'!A159</f>
        <v>STR-1041</v>
      </c>
      <c r="B160" s="18">
        <f>'2_Cleaned_Data'!B159</f>
        <v>45748</v>
      </c>
      <c r="C160" s="5" t="str">
        <f>'2_Cleaned_Data'!D159</f>
        <v>High Street</v>
      </c>
      <c r="D160" s="6">
        <f>IF('2_Cleaned_Data'!D159="Airport",1,0)</f>
        <v>0</v>
      </c>
      <c r="E160" s="6">
        <f>IF('2_Cleaned_Data'!D159="High Street",1,0)</f>
        <v>1</v>
      </c>
      <c r="F160" s="6">
        <f>IF('2_Cleaned_Data'!D159="Mall",1,0)</f>
        <v>0</v>
      </c>
    </row>
    <row r="161" spans="1:6" x14ac:dyDescent="0.45">
      <c r="A161" s="5" t="str">
        <f>'2_Cleaned_Data'!A160</f>
        <v>STR-1042</v>
      </c>
      <c r="B161" s="18">
        <f>'2_Cleaned_Data'!B160</f>
        <v>45658</v>
      </c>
      <c r="C161" s="5" t="str">
        <f>'2_Cleaned_Data'!D160</f>
        <v>Mall</v>
      </c>
      <c r="D161" s="6">
        <f>IF('2_Cleaned_Data'!D160="Airport",1,0)</f>
        <v>0</v>
      </c>
      <c r="E161" s="6">
        <f>IF('2_Cleaned_Data'!D160="High Street",1,0)</f>
        <v>0</v>
      </c>
      <c r="F161" s="6">
        <f>IF('2_Cleaned_Data'!D160="Mall",1,0)</f>
        <v>1</v>
      </c>
    </row>
    <row r="162" spans="1:6" x14ac:dyDescent="0.45">
      <c r="A162" s="5" t="str">
        <f>'2_Cleaned_Data'!A161</f>
        <v>STR-1042</v>
      </c>
      <c r="B162" s="18">
        <f>'2_Cleaned_Data'!B161</f>
        <v>45689</v>
      </c>
      <c r="C162" s="5" t="str">
        <f>'2_Cleaned_Data'!D161</f>
        <v>Mall</v>
      </c>
      <c r="D162" s="6">
        <f>IF('2_Cleaned_Data'!D161="Airport",1,0)</f>
        <v>0</v>
      </c>
      <c r="E162" s="6">
        <f>IF('2_Cleaned_Data'!D161="High Street",1,0)</f>
        <v>0</v>
      </c>
      <c r="F162" s="6">
        <f>IF('2_Cleaned_Data'!D161="Mall",1,0)</f>
        <v>1</v>
      </c>
    </row>
    <row r="163" spans="1:6" x14ac:dyDescent="0.45">
      <c r="A163" s="5" t="str">
        <f>'2_Cleaned_Data'!A162</f>
        <v>STR-1042</v>
      </c>
      <c r="B163" s="18">
        <f>'2_Cleaned_Data'!B162</f>
        <v>45717</v>
      </c>
      <c r="C163" s="5" t="str">
        <f>'2_Cleaned_Data'!D162</f>
        <v>Mall</v>
      </c>
      <c r="D163" s="6">
        <f>IF('2_Cleaned_Data'!D162="Airport",1,0)</f>
        <v>0</v>
      </c>
      <c r="E163" s="6">
        <f>IF('2_Cleaned_Data'!D162="High Street",1,0)</f>
        <v>0</v>
      </c>
      <c r="F163" s="6">
        <f>IF('2_Cleaned_Data'!D162="Mall",1,0)</f>
        <v>1</v>
      </c>
    </row>
    <row r="164" spans="1:6" x14ac:dyDescent="0.45">
      <c r="A164" s="5" t="str">
        <f>'2_Cleaned_Data'!A163</f>
        <v>STR-1042</v>
      </c>
      <c r="B164" s="18">
        <f>'2_Cleaned_Data'!B163</f>
        <v>45748</v>
      </c>
      <c r="C164" s="5" t="str">
        <f>'2_Cleaned_Data'!D163</f>
        <v>Mall</v>
      </c>
      <c r="D164" s="6">
        <f>IF('2_Cleaned_Data'!D163="Airport",1,0)</f>
        <v>0</v>
      </c>
      <c r="E164" s="6">
        <f>IF('2_Cleaned_Data'!D163="High Street",1,0)</f>
        <v>0</v>
      </c>
      <c r="F164" s="6">
        <f>IF('2_Cleaned_Data'!D163="Mall",1,0)</f>
        <v>1</v>
      </c>
    </row>
    <row r="165" spans="1:6" x14ac:dyDescent="0.45">
      <c r="A165" s="5" t="str">
        <f>'2_Cleaned_Data'!A164</f>
        <v>STR-1043</v>
      </c>
      <c r="B165" s="18">
        <f>'2_Cleaned_Data'!B164</f>
        <v>45658</v>
      </c>
      <c r="C165" s="5" t="str">
        <f>'2_Cleaned_Data'!D164</f>
        <v>Residential</v>
      </c>
      <c r="D165" s="6">
        <f>IF('2_Cleaned_Data'!D164="Airport",1,0)</f>
        <v>0</v>
      </c>
      <c r="E165" s="6">
        <f>IF('2_Cleaned_Data'!D164="High Street",1,0)</f>
        <v>0</v>
      </c>
      <c r="F165" s="6">
        <f>IF('2_Cleaned_Data'!D164="Mall",1,0)</f>
        <v>0</v>
      </c>
    </row>
    <row r="166" spans="1:6" x14ac:dyDescent="0.45">
      <c r="A166" s="5" t="str">
        <f>'2_Cleaned_Data'!A165</f>
        <v>STR-1043</v>
      </c>
      <c r="B166" s="18">
        <f>'2_Cleaned_Data'!B165</f>
        <v>45689</v>
      </c>
      <c r="C166" s="5" t="str">
        <f>'2_Cleaned_Data'!D165</f>
        <v>Residential</v>
      </c>
      <c r="D166" s="6">
        <f>IF('2_Cleaned_Data'!D165="Airport",1,0)</f>
        <v>0</v>
      </c>
      <c r="E166" s="6">
        <f>IF('2_Cleaned_Data'!D165="High Street",1,0)</f>
        <v>0</v>
      </c>
      <c r="F166" s="6">
        <f>IF('2_Cleaned_Data'!D165="Mall",1,0)</f>
        <v>0</v>
      </c>
    </row>
    <row r="167" spans="1:6" x14ac:dyDescent="0.45">
      <c r="A167" s="5" t="str">
        <f>'2_Cleaned_Data'!A166</f>
        <v>STR-1043</v>
      </c>
      <c r="B167" s="18">
        <f>'2_Cleaned_Data'!B166</f>
        <v>45717</v>
      </c>
      <c r="C167" s="5" t="str">
        <f>'2_Cleaned_Data'!D166</f>
        <v>Residential</v>
      </c>
      <c r="D167" s="6">
        <f>IF('2_Cleaned_Data'!D166="Airport",1,0)</f>
        <v>0</v>
      </c>
      <c r="E167" s="6">
        <f>IF('2_Cleaned_Data'!D166="High Street",1,0)</f>
        <v>0</v>
      </c>
      <c r="F167" s="6">
        <f>IF('2_Cleaned_Data'!D166="Mall",1,0)</f>
        <v>0</v>
      </c>
    </row>
    <row r="168" spans="1:6" x14ac:dyDescent="0.45">
      <c r="A168" s="5" t="str">
        <f>'2_Cleaned_Data'!A167</f>
        <v>STR-1043</v>
      </c>
      <c r="B168" s="18">
        <f>'2_Cleaned_Data'!B167</f>
        <v>45748</v>
      </c>
      <c r="C168" s="5" t="str">
        <f>'2_Cleaned_Data'!D167</f>
        <v>Residential</v>
      </c>
      <c r="D168" s="6">
        <f>IF('2_Cleaned_Data'!D167="Airport",1,0)</f>
        <v>0</v>
      </c>
      <c r="E168" s="6">
        <f>IF('2_Cleaned_Data'!D167="High Street",1,0)</f>
        <v>0</v>
      </c>
      <c r="F168" s="6">
        <f>IF('2_Cleaned_Data'!D167="Mall",1,0)</f>
        <v>0</v>
      </c>
    </row>
    <row r="169" spans="1:6" x14ac:dyDescent="0.45">
      <c r="A169" s="5" t="str">
        <f>'2_Cleaned_Data'!A168</f>
        <v>STR-1044</v>
      </c>
      <c r="B169" s="18">
        <f>'2_Cleaned_Data'!B168</f>
        <v>45658</v>
      </c>
      <c r="C169" s="5" t="str">
        <f>'2_Cleaned_Data'!D168</f>
        <v>Residential</v>
      </c>
      <c r="D169" s="6">
        <f>IF('2_Cleaned_Data'!D168="Airport",1,0)</f>
        <v>0</v>
      </c>
      <c r="E169" s="6">
        <f>IF('2_Cleaned_Data'!D168="High Street",1,0)</f>
        <v>0</v>
      </c>
      <c r="F169" s="6">
        <f>IF('2_Cleaned_Data'!D168="Mall",1,0)</f>
        <v>0</v>
      </c>
    </row>
    <row r="170" spans="1:6" x14ac:dyDescent="0.45">
      <c r="A170" s="5" t="str">
        <f>'2_Cleaned_Data'!A169</f>
        <v>STR-1044</v>
      </c>
      <c r="B170" s="18">
        <f>'2_Cleaned_Data'!B169</f>
        <v>45689</v>
      </c>
      <c r="C170" s="5" t="str">
        <f>'2_Cleaned_Data'!D169</f>
        <v>Residential</v>
      </c>
      <c r="D170" s="6">
        <f>IF('2_Cleaned_Data'!D169="Airport",1,0)</f>
        <v>0</v>
      </c>
      <c r="E170" s="6">
        <f>IF('2_Cleaned_Data'!D169="High Street",1,0)</f>
        <v>0</v>
      </c>
      <c r="F170" s="6">
        <f>IF('2_Cleaned_Data'!D169="Mall",1,0)</f>
        <v>0</v>
      </c>
    </row>
    <row r="171" spans="1:6" x14ac:dyDescent="0.45">
      <c r="A171" s="5" t="str">
        <f>'2_Cleaned_Data'!A170</f>
        <v>STR-1044</v>
      </c>
      <c r="B171" s="18">
        <f>'2_Cleaned_Data'!B170</f>
        <v>45717</v>
      </c>
      <c r="C171" s="5" t="str">
        <f>'2_Cleaned_Data'!D170</f>
        <v>Residential</v>
      </c>
      <c r="D171" s="6">
        <f>IF('2_Cleaned_Data'!D170="Airport",1,0)</f>
        <v>0</v>
      </c>
      <c r="E171" s="6">
        <f>IF('2_Cleaned_Data'!D170="High Street",1,0)</f>
        <v>0</v>
      </c>
      <c r="F171" s="6">
        <f>IF('2_Cleaned_Data'!D170="Mall",1,0)</f>
        <v>0</v>
      </c>
    </row>
    <row r="172" spans="1:6" x14ac:dyDescent="0.45">
      <c r="A172" s="5" t="str">
        <f>'2_Cleaned_Data'!A171</f>
        <v>STR-1044</v>
      </c>
      <c r="B172" s="18">
        <f>'2_Cleaned_Data'!B171</f>
        <v>45748</v>
      </c>
      <c r="C172" s="5" t="str">
        <f>'2_Cleaned_Data'!D171</f>
        <v>Residential</v>
      </c>
      <c r="D172" s="6">
        <f>IF('2_Cleaned_Data'!D171="Airport",1,0)</f>
        <v>0</v>
      </c>
      <c r="E172" s="6">
        <f>IF('2_Cleaned_Data'!D171="High Street",1,0)</f>
        <v>0</v>
      </c>
      <c r="F172" s="6">
        <f>IF('2_Cleaned_Data'!D171="Mall",1,0)</f>
        <v>0</v>
      </c>
    </row>
    <row r="173" spans="1:6" x14ac:dyDescent="0.45">
      <c r="A173" s="5" t="str">
        <f>'2_Cleaned_Data'!A172</f>
        <v>STR-1045</v>
      </c>
      <c r="B173" s="18">
        <f>'2_Cleaned_Data'!B172</f>
        <v>45658</v>
      </c>
      <c r="C173" s="5" t="str">
        <f>'2_Cleaned_Data'!D172</f>
        <v>Airport</v>
      </c>
      <c r="D173" s="6">
        <f>IF('2_Cleaned_Data'!D172="Airport",1,0)</f>
        <v>1</v>
      </c>
      <c r="E173" s="6">
        <f>IF('2_Cleaned_Data'!D172="High Street",1,0)</f>
        <v>0</v>
      </c>
      <c r="F173" s="6">
        <f>IF('2_Cleaned_Data'!D172="Mall",1,0)</f>
        <v>0</v>
      </c>
    </row>
    <row r="174" spans="1:6" x14ac:dyDescent="0.45">
      <c r="A174" s="5" t="str">
        <f>'2_Cleaned_Data'!A173</f>
        <v>STR-1045</v>
      </c>
      <c r="B174" s="18">
        <f>'2_Cleaned_Data'!B173</f>
        <v>45689</v>
      </c>
      <c r="C174" s="5" t="str">
        <f>'2_Cleaned_Data'!D173</f>
        <v>Airport</v>
      </c>
      <c r="D174" s="6">
        <f>IF('2_Cleaned_Data'!D173="Airport",1,0)</f>
        <v>1</v>
      </c>
      <c r="E174" s="6">
        <f>IF('2_Cleaned_Data'!D173="High Street",1,0)</f>
        <v>0</v>
      </c>
      <c r="F174" s="6">
        <f>IF('2_Cleaned_Data'!D173="Mall",1,0)</f>
        <v>0</v>
      </c>
    </row>
    <row r="175" spans="1:6" x14ac:dyDescent="0.45">
      <c r="A175" s="5" t="str">
        <f>'2_Cleaned_Data'!A174</f>
        <v>STR-1045</v>
      </c>
      <c r="B175" s="18">
        <f>'2_Cleaned_Data'!B174</f>
        <v>45717</v>
      </c>
      <c r="C175" s="5" t="str">
        <f>'2_Cleaned_Data'!D174</f>
        <v>Airport</v>
      </c>
      <c r="D175" s="6">
        <f>IF('2_Cleaned_Data'!D174="Airport",1,0)</f>
        <v>1</v>
      </c>
      <c r="E175" s="6">
        <f>IF('2_Cleaned_Data'!D174="High Street",1,0)</f>
        <v>0</v>
      </c>
      <c r="F175" s="6">
        <f>IF('2_Cleaned_Data'!D174="Mall",1,0)</f>
        <v>0</v>
      </c>
    </row>
    <row r="176" spans="1:6" x14ac:dyDescent="0.45">
      <c r="A176" s="5" t="str">
        <f>'2_Cleaned_Data'!A175</f>
        <v>STR-1045</v>
      </c>
      <c r="B176" s="18">
        <f>'2_Cleaned_Data'!B175</f>
        <v>45748</v>
      </c>
      <c r="C176" s="5" t="str">
        <f>'2_Cleaned_Data'!D175</f>
        <v>Airport</v>
      </c>
      <c r="D176" s="6">
        <f>IF('2_Cleaned_Data'!D175="Airport",1,0)</f>
        <v>1</v>
      </c>
      <c r="E176" s="6">
        <f>IF('2_Cleaned_Data'!D175="High Street",1,0)</f>
        <v>0</v>
      </c>
      <c r="F176" s="6">
        <f>IF('2_Cleaned_Data'!D175="Mall",1,0)</f>
        <v>0</v>
      </c>
    </row>
    <row r="177" spans="1:6" x14ac:dyDescent="0.45">
      <c r="A177" s="5" t="str">
        <f>'2_Cleaned_Data'!A176</f>
        <v>STR-1046</v>
      </c>
      <c r="B177" s="18">
        <f>'2_Cleaned_Data'!B176</f>
        <v>45658</v>
      </c>
      <c r="C177" s="5" t="str">
        <f>'2_Cleaned_Data'!D176</f>
        <v>Residential</v>
      </c>
      <c r="D177" s="6">
        <f>IF('2_Cleaned_Data'!D176="Airport",1,0)</f>
        <v>0</v>
      </c>
      <c r="E177" s="6">
        <f>IF('2_Cleaned_Data'!D176="High Street",1,0)</f>
        <v>0</v>
      </c>
      <c r="F177" s="6">
        <f>IF('2_Cleaned_Data'!D176="Mall",1,0)</f>
        <v>0</v>
      </c>
    </row>
    <row r="178" spans="1:6" x14ac:dyDescent="0.45">
      <c r="A178" s="5" t="str">
        <f>'2_Cleaned_Data'!A177</f>
        <v>STR-1046</v>
      </c>
      <c r="B178" s="18">
        <f>'2_Cleaned_Data'!B177</f>
        <v>45689</v>
      </c>
      <c r="C178" s="5" t="str">
        <f>'2_Cleaned_Data'!D177</f>
        <v>Residential</v>
      </c>
      <c r="D178" s="6">
        <f>IF('2_Cleaned_Data'!D177="Airport",1,0)</f>
        <v>0</v>
      </c>
      <c r="E178" s="6">
        <f>IF('2_Cleaned_Data'!D177="High Street",1,0)</f>
        <v>0</v>
      </c>
      <c r="F178" s="6">
        <f>IF('2_Cleaned_Data'!D177="Mall",1,0)</f>
        <v>0</v>
      </c>
    </row>
    <row r="179" spans="1:6" x14ac:dyDescent="0.45">
      <c r="A179" s="5" t="str">
        <f>'2_Cleaned_Data'!A178</f>
        <v>STR-1046</v>
      </c>
      <c r="B179" s="18">
        <f>'2_Cleaned_Data'!B178</f>
        <v>45717</v>
      </c>
      <c r="C179" s="5" t="str">
        <f>'2_Cleaned_Data'!D178</f>
        <v>Residential</v>
      </c>
      <c r="D179" s="6">
        <f>IF('2_Cleaned_Data'!D178="Airport",1,0)</f>
        <v>0</v>
      </c>
      <c r="E179" s="6">
        <f>IF('2_Cleaned_Data'!D178="High Street",1,0)</f>
        <v>0</v>
      </c>
      <c r="F179" s="6">
        <f>IF('2_Cleaned_Data'!D178="Mall",1,0)</f>
        <v>0</v>
      </c>
    </row>
    <row r="180" spans="1:6" x14ac:dyDescent="0.45">
      <c r="A180" s="5" t="str">
        <f>'2_Cleaned_Data'!A179</f>
        <v>STR-1046</v>
      </c>
      <c r="B180" s="18">
        <f>'2_Cleaned_Data'!B179</f>
        <v>45748</v>
      </c>
      <c r="C180" s="5" t="str">
        <f>'2_Cleaned_Data'!D179</f>
        <v>Residential</v>
      </c>
      <c r="D180" s="6">
        <f>IF('2_Cleaned_Data'!D179="Airport",1,0)</f>
        <v>0</v>
      </c>
      <c r="E180" s="6">
        <f>IF('2_Cleaned_Data'!D179="High Street",1,0)</f>
        <v>0</v>
      </c>
      <c r="F180" s="6">
        <f>IF('2_Cleaned_Data'!D179="Mall",1,0)</f>
        <v>0</v>
      </c>
    </row>
    <row r="181" spans="1:6" x14ac:dyDescent="0.45">
      <c r="A181" s="5" t="str">
        <f>'2_Cleaned_Data'!A180</f>
        <v>STR-1047</v>
      </c>
      <c r="B181" s="18">
        <f>'2_Cleaned_Data'!B180</f>
        <v>45658</v>
      </c>
      <c r="C181" s="5" t="str">
        <f>'2_Cleaned_Data'!D180</f>
        <v>High Street</v>
      </c>
      <c r="D181" s="6">
        <f>IF('2_Cleaned_Data'!D180="Airport",1,0)</f>
        <v>0</v>
      </c>
      <c r="E181" s="6">
        <f>IF('2_Cleaned_Data'!D180="High Street",1,0)</f>
        <v>1</v>
      </c>
      <c r="F181" s="6">
        <f>IF('2_Cleaned_Data'!D180="Mall",1,0)</f>
        <v>0</v>
      </c>
    </row>
    <row r="182" spans="1:6" x14ac:dyDescent="0.45">
      <c r="A182" s="5" t="str">
        <f>'2_Cleaned_Data'!A181</f>
        <v>STR-1047</v>
      </c>
      <c r="B182" s="18">
        <f>'2_Cleaned_Data'!B181</f>
        <v>45689</v>
      </c>
      <c r="C182" s="5" t="str">
        <f>'2_Cleaned_Data'!D181</f>
        <v>High Street</v>
      </c>
      <c r="D182" s="6">
        <f>IF('2_Cleaned_Data'!D181="Airport",1,0)</f>
        <v>0</v>
      </c>
      <c r="E182" s="6">
        <f>IF('2_Cleaned_Data'!D181="High Street",1,0)</f>
        <v>1</v>
      </c>
      <c r="F182" s="6">
        <f>IF('2_Cleaned_Data'!D181="Mall",1,0)</f>
        <v>0</v>
      </c>
    </row>
    <row r="183" spans="1:6" x14ac:dyDescent="0.45">
      <c r="A183" s="5" t="str">
        <f>'2_Cleaned_Data'!A182</f>
        <v>STR-1047</v>
      </c>
      <c r="B183" s="18">
        <f>'2_Cleaned_Data'!B182</f>
        <v>45717</v>
      </c>
      <c r="C183" s="5" t="str">
        <f>'2_Cleaned_Data'!D182</f>
        <v>High Street</v>
      </c>
      <c r="D183" s="6">
        <f>IF('2_Cleaned_Data'!D182="Airport",1,0)</f>
        <v>0</v>
      </c>
      <c r="E183" s="6">
        <f>IF('2_Cleaned_Data'!D182="High Street",1,0)</f>
        <v>1</v>
      </c>
      <c r="F183" s="6">
        <f>IF('2_Cleaned_Data'!D182="Mall",1,0)</f>
        <v>0</v>
      </c>
    </row>
    <row r="184" spans="1:6" x14ac:dyDescent="0.45">
      <c r="A184" s="5" t="str">
        <f>'2_Cleaned_Data'!A183</f>
        <v>STR-1047</v>
      </c>
      <c r="B184" s="18">
        <f>'2_Cleaned_Data'!B183</f>
        <v>45748</v>
      </c>
      <c r="C184" s="5" t="str">
        <f>'2_Cleaned_Data'!D183</f>
        <v>High Street</v>
      </c>
      <c r="D184" s="6">
        <f>IF('2_Cleaned_Data'!D183="Airport",1,0)</f>
        <v>0</v>
      </c>
      <c r="E184" s="6">
        <f>IF('2_Cleaned_Data'!D183="High Street",1,0)</f>
        <v>1</v>
      </c>
      <c r="F184" s="6">
        <f>IF('2_Cleaned_Data'!D183="Mall",1,0)</f>
        <v>0</v>
      </c>
    </row>
    <row r="185" spans="1:6" x14ac:dyDescent="0.45">
      <c r="A185" s="5" t="str">
        <f>'2_Cleaned_Data'!A184</f>
        <v>STR-1048</v>
      </c>
      <c r="B185" s="18">
        <f>'2_Cleaned_Data'!B184</f>
        <v>45658</v>
      </c>
      <c r="C185" s="5" t="str">
        <f>'2_Cleaned_Data'!D184</f>
        <v>High Street</v>
      </c>
      <c r="D185" s="6">
        <f>IF('2_Cleaned_Data'!D184="Airport",1,0)</f>
        <v>0</v>
      </c>
      <c r="E185" s="6">
        <f>IF('2_Cleaned_Data'!D184="High Street",1,0)</f>
        <v>1</v>
      </c>
      <c r="F185" s="6">
        <f>IF('2_Cleaned_Data'!D184="Mall",1,0)</f>
        <v>0</v>
      </c>
    </row>
    <row r="186" spans="1:6" x14ac:dyDescent="0.45">
      <c r="A186" s="5" t="str">
        <f>'2_Cleaned_Data'!A185</f>
        <v>STR-1048</v>
      </c>
      <c r="B186" s="18">
        <f>'2_Cleaned_Data'!B185</f>
        <v>45689</v>
      </c>
      <c r="C186" s="5" t="str">
        <f>'2_Cleaned_Data'!D185</f>
        <v>High Street</v>
      </c>
      <c r="D186" s="6">
        <f>IF('2_Cleaned_Data'!D185="Airport",1,0)</f>
        <v>0</v>
      </c>
      <c r="E186" s="6">
        <f>IF('2_Cleaned_Data'!D185="High Street",1,0)</f>
        <v>1</v>
      </c>
      <c r="F186" s="6">
        <f>IF('2_Cleaned_Data'!D185="Mall",1,0)</f>
        <v>0</v>
      </c>
    </row>
    <row r="187" spans="1:6" x14ac:dyDescent="0.45">
      <c r="A187" s="5" t="str">
        <f>'2_Cleaned_Data'!A186</f>
        <v>STR-1048</v>
      </c>
      <c r="B187" s="18">
        <f>'2_Cleaned_Data'!B186</f>
        <v>45717</v>
      </c>
      <c r="C187" s="5" t="str">
        <f>'2_Cleaned_Data'!D186</f>
        <v>High Street</v>
      </c>
      <c r="D187" s="6">
        <f>IF('2_Cleaned_Data'!D186="Airport",1,0)</f>
        <v>0</v>
      </c>
      <c r="E187" s="6">
        <f>IF('2_Cleaned_Data'!D186="High Street",1,0)</f>
        <v>1</v>
      </c>
      <c r="F187" s="6">
        <f>IF('2_Cleaned_Data'!D186="Mall",1,0)</f>
        <v>0</v>
      </c>
    </row>
    <row r="188" spans="1:6" x14ac:dyDescent="0.45">
      <c r="A188" s="5" t="str">
        <f>'2_Cleaned_Data'!A187</f>
        <v>STR-1048</v>
      </c>
      <c r="B188" s="18">
        <f>'2_Cleaned_Data'!B187</f>
        <v>45748</v>
      </c>
      <c r="C188" s="5" t="str">
        <f>'2_Cleaned_Data'!D187</f>
        <v>High Street</v>
      </c>
      <c r="D188" s="6">
        <f>IF('2_Cleaned_Data'!D187="Airport",1,0)</f>
        <v>0</v>
      </c>
      <c r="E188" s="6">
        <f>IF('2_Cleaned_Data'!D187="High Street",1,0)</f>
        <v>1</v>
      </c>
      <c r="F188" s="6">
        <f>IF('2_Cleaned_Data'!D187="Mall",1,0)</f>
        <v>0</v>
      </c>
    </row>
    <row r="189" spans="1:6" x14ac:dyDescent="0.45">
      <c r="A189" s="5" t="str">
        <f>'2_Cleaned_Data'!A188</f>
        <v>STR-1049</v>
      </c>
      <c r="B189" s="18">
        <f>'2_Cleaned_Data'!B188</f>
        <v>45658</v>
      </c>
      <c r="C189" s="5" t="str">
        <f>'2_Cleaned_Data'!D188</f>
        <v>Residential</v>
      </c>
      <c r="D189" s="6">
        <f>IF('2_Cleaned_Data'!D188="Airport",1,0)</f>
        <v>0</v>
      </c>
      <c r="E189" s="6">
        <f>IF('2_Cleaned_Data'!D188="High Street",1,0)</f>
        <v>0</v>
      </c>
      <c r="F189" s="6">
        <f>IF('2_Cleaned_Data'!D188="Mall",1,0)</f>
        <v>0</v>
      </c>
    </row>
    <row r="190" spans="1:6" x14ac:dyDescent="0.45">
      <c r="A190" s="5" t="str">
        <f>'2_Cleaned_Data'!A189</f>
        <v>STR-1049</v>
      </c>
      <c r="B190" s="18">
        <f>'2_Cleaned_Data'!B189</f>
        <v>45689</v>
      </c>
      <c r="C190" s="5" t="str">
        <f>'2_Cleaned_Data'!D189</f>
        <v>Residential</v>
      </c>
      <c r="D190" s="6">
        <f>IF('2_Cleaned_Data'!D189="Airport",1,0)</f>
        <v>0</v>
      </c>
      <c r="E190" s="6">
        <f>IF('2_Cleaned_Data'!D189="High Street",1,0)</f>
        <v>0</v>
      </c>
      <c r="F190" s="6">
        <f>IF('2_Cleaned_Data'!D189="Mall",1,0)</f>
        <v>0</v>
      </c>
    </row>
    <row r="191" spans="1:6" x14ac:dyDescent="0.45">
      <c r="A191" s="5" t="str">
        <f>'2_Cleaned_Data'!A190</f>
        <v>STR-1049</v>
      </c>
      <c r="B191" s="18">
        <f>'2_Cleaned_Data'!B190</f>
        <v>45717</v>
      </c>
      <c r="C191" s="5" t="str">
        <f>'2_Cleaned_Data'!D190</f>
        <v>Residential</v>
      </c>
      <c r="D191" s="6">
        <f>IF('2_Cleaned_Data'!D190="Airport",1,0)</f>
        <v>0</v>
      </c>
      <c r="E191" s="6">
        <f>IF('2_Cleaned_Data'!D190="High Street",1,0)</f>
        <v>0</v>
      </c>
      <c r="F191" s="6">
        <f>IF('2_Cleaned_Data'!D190="Mall",1,0)</f>
        <v>0</v>
      </c>
    </row>
    <row r="192" spans="1:6" x14ac:dyDescent="0.45">
      <c r="A192" s="5" t="str">
        <f>'2_Cleaned_Data'!A191</f>
        <v>STR-1050</v>
      </c>
      <c r="B192" s="18">
        <f>'2_Cleaned_Data'!B191</f>
        <v>45658</v>
      </c>
      <c r="C192" s="5" t="str">
        <f>'2_Cleaned_Data'!D191</f>
        <v>Residential</v>
      </c>
      <c r="D192" s="6">
        <f>IF('2_Cleaned_Data'!D191="Airport",1,0)</f>
        <v>0</v>
      </c>
      <c r="E192" s="6">
        <f>IF('2_Cleaned_Data'!D191="High Street",1,0)</f>
        <v>0</v>
      </c>
      <c r="F192" s="6">
        <f>IF('2_Cleaned_Data'!D191="Mall",1,0)</f>
        <v>0</v>
      </c>
    </row>
    <row r="193" spans="1:6" x14ac:dyDescent="0.45">
      <c r="A193" s="5" t="str">
        <f>'2_Cleaned_Data'!A192</f>
        <v>STR-1050</v>
      </c>
      <c r="B193" s="18">
        <f>'2_Cleaned_Data'!B192</f>
        <v>45689</v>
      </c>
      <c r="C193" s="5" t="str">
        <f>'2_Cleaned_Data'!D192</f>
        <v>Residential</v>
      </c>
      <c r="D193" s="6">
        <f>IF('2_Cleaned_Data'!D192="Airport",1,0)</f>
        <v>0</v>
      </c>
      <c r="E193" s="6">
        <f>IF('2_Cleaned_Data'!D192="High Street",1,0)</f>
        <v>0</v>
      </c>
      <c r="F193" s="6">
        <f>IF('2_Cleaned_Data'!D192="Mall",1,0)</f>
        <v>0</v>
      </c>
    </row>
    <row r="194" spans="1:6" x14ac:dyDescent="0.45">
      <c r="A194" s="5" t="str">
        <f>'2_Cleaned_Data'!A193</f>
        <v>STR-1050</v>
      </c>
      <c r="B194" s="18">
        <f>'2_Cleaned_Data'!B193</f>
        <v>45717</v>
      </c>
      <c r="C194" s="5" t="str">
        <f>'2_Cleaned_Data'!D193</f>
        <v>Residential</v>
      </c>
      <c r="D194" s="6">
        <f>IF('2_Cleaned_Data'!D193="Airport",1,0)</f>
        <v>0</v>
      </c>
      <c r="E194" s="6">
        <f>IF('2_Cleaned_Data'!D193="High Street",1,0)</f>
        <v>0</v>
      </c>
      <c r="F194" s="6">
        <f>IF('2_Cleaned_Data'!D193="Mall",1,0)</f>
        <v>0</v>
      </c>
    </row>
    <row r="195" spans="1:6" x14ac:dyDescent="0.45">
      <c r="A195" s="5" t="str">
        <f>'2_Cleaned_Data'!A194</f>
        <v>STR-1050</v>
      </c>
      <c r="B195" s="18">
        <f>'2_Cleaned_Data'!B194</f>
        <v>45748</v>
      </c>
      <c r="C195" s="5" t="str">
        <f>'2_Cleaned_Data'!D194</f>
        <v>Residential</v>
      </c>
      <c r="D195" s="6">
        <f>IF('2_Cleaned_Data'!D194="Airport",1,0)</f>
        <v>0</v>
      </c>
      <c r="E195" s="6">
        <f>IF('2_Cleaned_Data'!D194="High Street",1,0)</f>
        <v>0</v>
      </c>
      <c r="F195" s="6">
        <f>IF('2_Cleaned_Data'!D194="Mall",1,0)</f>
        <v>0</v>
      </c>
    </row>
    <row r="196" spans="1:6" x14ac:dyDescent="0.45">
      <c r="A196" s="5" t="str">
        <f>'2_Cleaned_Data'!A195</f>
        <v>STR-1051</v>
      </c>
      <c r="B196" s="18">
        <f>'2_Cleaned_Data'!B195</f>
        <v>45658</v>
      </c>
      <c r="C196" s="5" t="str">
        <f>'2_Cleaned_Data'!D195</f>
        <v>Airport</v>
      </c>
      <c r="D196" s="6">
        <f>IF('2_Cleaned_Data'!D195="Airport",1,0)</f>
        <v>1</v>
      </c>
      <c r="E196" s="6">
        <f>IF('2_Cleaned_Data'!D195="High Street",1,0)</f>
        <v>0</v>
      </c>
      <c r="F196" s="6">
        <f>IF('2_Cleaned_Data'!D195="Mall",1,0)</f>
        <v>0</v>
      </c>
    </row>
    <row r="197" spans="1:6" x14ac:dyDescent="0.45">
      <c r="A197" s="5" t="str">
        <f>'2_Cleaned_Data'!A196</f>
        <v>STR-1051</v>
      </c>
      <c r="B197" s="18">
        <f>'2_Cleaned_Data'!B196</f>
        <v>45689</v>
      </c>
      <c r="C197" s="5" t="str">
        <f>'2_Cleaned_Data'!D196</f>
        <v>Airport</v>
      </c>
      <c r="D197" s="6">
        <f>IF('2_Cleaned_Data'!D196="Airport",1,0)</f>
        <v>1</v>
      </c>
      <c r="E197" s="6">
        <f>IF('2_Cleaned_Data'!D196="High Street",1,0)</f>
        <v>0</v>
      </c>
      <c r="F197" s="6">
        <f>IF('2_Cleaned_Data'!D196="Mall",1,0)</f>
        <v>0</v>
      </c>
    </row>
    <row r="198" spans="1:6" x14ac:dyDescent="0.45">
      <c r="A198" s="5" t="str">
        <f>'2_Cleaned_Data'!A197</f>
        <v>STR-1051</v>
      </c>
      <c r="B198" s="18">
        <f>'2_Cleaned_Data'!B197</f>
        <v>45717</v>
      </c>
      <c r="C198" s="5" t="str">
        <f>'2_Cleaned_Data'!D197</f>
        <v>Airport</v>
      </c>
      <c r="D198" s="6">
        <f>IF('2_Cleaned_Data'!D197="Airport",1,0)</f>
        <v>1</v>
      </c>
      <c r="E198" s="6">
        <f>IF('2_Cleaned_Data'!D197="High Street",1,0)</f>
        <v>0</v>
      </c>
      <c r="F198" s="6">
        <f>IF('2_Cleaned_Data'!D197="Mall",1,0)</f>
        <v>0</v>
      </c>
    </row>
    <row r="199" spans="1:6" x14ac:dyDescent="0.45">
      <c r="A199" s="5" t="str">
        <f>'2_Cleaned_Data'!A198</f>
        <v>STR-1051</v>
      </c>
      <c r="B199" s="18">
        <f>'2_Cleaned_Data'!B198</f>
        <v>45748</v>
      </c>
      <c r="C199" s="5" t="str">
        <f>'2_Cleaned_Data'!D198</f>
        <v>Airport</v>
      </c>
      <c r="D199" s="6">
        <f>IF('2_Cleaned_Data'!D198="Airport",1,0)</f>
        <v>1</v>
      </c>
      <c r="E199" s="6">
        <f>IF('2_Cleaned_Data'!D198="High Street",1,0)</f>
        <v>0</v>
      </c>
      <c r="F199" s="6">
        <f>IF('2_Cleaned_Data'!D198="Mall",1,0)</f>
        <v>0</v>
      </c>
    </row>
    <row r="200" spans="1:6" x14ac:dyDescent="0.45">
      <c r="A200" s="5" t="str">
        <f>'2_Cleaned_Data'!A199</f>
        <v>STR-1052</v>
      </c>
      <c r="B200" s="18">
        <f>'2_Cleaned_Data'!B199</f>
        <v>45658</v>
      </c>
      <c r="C200" s="5" t="str">
        <f>'2_Cleaned_Data'!D199</f>
        <v>Mall</v>
      </c>
      <c r="D200" s="6">
        <f>IF('2_Cleaned_Data'!D199="Airport",1,0)</f>
        <v>0</v>
      </c>
      <c r="E200" s="6">
        <f>IF('2_Cleaned_Data'!D199="High Street",1,0)</f>
        <v>0</v>
      </c>
      <c r="F200" s="6">
        <f>IF('2_Cleaned_Data'!D199="Mall",1,0)</f>
        <v>1</v>
      </c>
    </row>
    <row r="201" spans="1:6" x14ac:dyDescent="0.45">
      <c r="A201" s="5" t="str">
        <f>'2_Cleaned_Data'!A200</f>
        <v>STR-1052</v>
      </c>
      <c r="B201" s="18">
        <f>'2_Cleaned_Data'!B200</f>
        <v>45689</v>
      </c>
      <c r="C201" s="5" t="str">
        <f>'2_Cleaned_Data'!D200</f>
        <v>Mall</v>
      </c>
      <c r="D201" s="6">
        <f>IF('2_Cleaned_Data'!D200="Airport",1,0)</f>
        <v>0</v>
      </c>
      <c r="E201" s="6">
        <f>IF('2_Cleaned_Data'!D200="High Street",1,0)</f>
        <v>0</v>
      </c>
      <c r="F201" s="6">
        <f>IF('2_Cleaned_Data'!D200="Mall",1,0)</f>
        <v>1</v>
      </c>
    </row>
    <row r="202" spans="1:6" x14ac:dyDescent="0.45">
      <c r="A202" s="5" t="str">
        <f>'2_Cleaned_Data'!A201</f>
        <v>STR-1052</v>
      </c>
      <c r="B202" s="18">
        <f>'2_Cleaned_Data'!B201</f>
        <v>45717</v>
      </c>
      <c r="C202" s="5" t="str">
        <f>'2_Cleaned_Data'!D201</f>
        <v>Mall</v>
      </c>
      <c r="D202" s="6">
        <f>IF('2_Cleaned_Data'!D201="Airport",1,0)</f>
        <v>0</v>
      </c>
      <c r="E202" s="6">
        <f>IF('2_Cleaned_Data'!D201="High Street",1,0)</f>
        <v>0</v>
      </c>
      <c r="F202" s="6">
        <f>IF('2_Cleaned_Data'!D201="Mall",1,0)</f>
        <v>1</v>
      </c>
    </row>
    <row r="203" spans="1:6" x14ac:dyDescent="0.45">
      <c r="A203" s="5" t="str">
        <f>'2_Cleaned_Data'!A202</f>
        <v>STR-1052</v>
      </c>
      <c r="B203" s="18">
        <f>'2_Cleaned_Data'!B202</f>
        <v>45748</v>
      </c>
      <c r="C203" s="5" t="str">
        <f>'2_Cleaned_Data'!D202</f>
        <v>Mall</v>
      </c>
      <c r="D203" s="6">
        <f>IF('2_Cleaned_Data'!D202="Airport",1,0)</f>
        <v>0</v>
      </c>
      <c r="E203" s="6">
        <f>IF('2_Cleaned_Data'!D202="High Street",1,0)</f>
        <v>0</v>
      </c>
      <c r="F203" s="6">
        <f>IF('2_Cleaned_Data'!D202="Mall",1,0)</f>
        <v>1</v>
      </c>
    </row>
    <row r="204" spans="1:6" x14ac:dyDescent="0.45">
      <c r="A204" s="5" t="str">
        <f>'2_Cleaned_Data'!A203</f>
        <v>STR-1053</v>
      </c>
      <c r="B204" s="18">
        <f>'2_Cleaned_Data'!B203</f>
        <v>45658</v>
      </c>
      <c r="C204" s="5" t="str">
        <f>'2_Cleaned_Data'!D203</f>
        <v>High Street</v>
      </c>
      <c r="D204" s="6">
        <f>IF('2_Cleaned_Data'!D203="Airport",1,0)</f>
        <v>0</v>
      </c>
      <c r="E204" s="6">
        <f>IF('2_Cleaned_Data'!D203="High Street",1,0)</f>
        <v>1</v>
      </c>
      <c r="F204" s="6">
        <f>IF('2_Cleaned_Data'!D203="Mall",1,0)</f>
        <v>0</v>
      </c>
    </row>
    <row r="205" spans="1:6" x14ac:dyDescent="0.45">
      <c r="A205" s="5" t="str">
        <f>'2_Cleaned_Data'!A204</f>
        <v>STR-1053</v>
      </c>
      <c r="B205" s="18">
        <f>'2_Cleaned_Data'!B204</f>
        <v>45689</v>
      </c>
      <c r="C205" s="5" t="str">
        <f>'2_Cleaned_Data'!D204</f>
        <v>High Street</v>
      </c>
      <c r="D205" s="6">
        <f>IF('2_Cleaned_Data'!D204="Airport",1,0)</f>
        <v>0</v>
      </c>
      <c r="E205" s="6">
        <f>IF('2_Cleaned_Data'!D204="High Street",1,0)</f>
        <v>1</v>
      </c>
      <c r="F205" s="6">
        <f>IF('2_Cleaned_Data'!D204="Mall",1,0)</f>
        <v>0</v>
      </c>
    </row>
    <row r="206" spans="1:6" x14ac:dyDescent="0.45">
      <c r="A206" s="5" t="str">
        <f>'2_Cleaned_Data'!A205</f>
        <v>STR-1053</v>
      </c>
      <c r="B206" s="18">
        <f>'2_Cleaned_Data'!B205</f>
        <v>45717</v>
      </c>
      <c r="C206" s="5" t="str">
        <f>'2_Cleaned_Data'!D205</f>
        <v>High Street</v>
      </c>
      <c r="D206" s="6">
        <f>IF('2_Cleaned_Data'!D205="Airport",1,0)</f>
        <v>0</v>
      </c>
      <c r="E206" s="6">
        <f>IF('2_Cleaned_Data'!D205="High Street",1,0)</f>
        <v>1</v>
      </c>
      <c r="F206" s="6">
        <f>IF('2_Cleaned_Data'!D205="Mall",1,0)</f>
        <v>0</v>
      </c>
    </row>
    <row r="207" spans="1:6" x14ac:dyDescent="0.45">
      <c r="A207" s="5" t="str">
        <f>'2_Cleaned_Data'!A206</f>
        <v>STR-1053</v>
      </c>
      <c r="B207" s="18">
        <f>'2_Cleaned_Data'!B206</f>
        <v>45748</v>
      </c>
      <c r="C207" s="5" t="str">
        <f>'2_Cleaned_Data'!D206</f>
        <v>High Street</v>
      </c>
      <c r="D207" s="6">
        <f>IF('2_Cleaned_Data'!D206="Airport",1,0)</f>
        <v>0</v>
      </c>
      <c r="E207" s="6">
        <f>IF('2_Cleaned_Data'!D206="High Street",1,0)</f>
        <v>1</v>
      </c>
      <c r="F207" s="6">
        <f>IF('2_Cleaned_Data'!D206="Mall",1,0)</f>
        <v>0</v>
      </c>
    </row>
    <row r="208" spans="1:6" x14ac:dyDescent="0.45">
      <c r="A208" s="5" t="str">
        <f>'2_Cleaned_Data'!A207</f>
        <v>STR-1054</v>
      </c>
      <c r="B208" s="18">
        <f>'2_Cleaned_Data'!B207</f>
        <v>45658</v>
      </c>
      <c r="C208" s="5" t="str">
        <f>'2_Cleaned_Data'!D207</f>
        <v>Residential</v>
      </c>
      <c r="D208" s="6">
        <f>IF('2_Cleaned_Data'!D207="Airport",1,0)</f>
        <v>0</v>
      </c>
      <c r="E208" s="6">
        <f>IF('2_Cleaned_Data'!D207="High Street",1,0)</f>
        <v>0</v>
      </c>
      <c r="F208" s="6">
        <f>IF('2_Cleaned_Data'!D207="Mall",1,0)</f>
        <v>0</v>
      </c>
    </row>
    <row r="209" spans="1:6" x14ac:dyDescent="0.45">
      <c r="A209" s="5" t="str">
        <f>'2_Cleaned_Data'!A208</f>
        <v>STR-1054</v>
      </c>
      <c r="B209" s="18">
        <f>'2_Cleaned_Data'!B208</f>
        <v>45689</v>
      </c>
      <c r="C209" s="5" t="str">
        <f>'2_Cleaned_Data'!D208</f>
        <v>Residential</v>
      </c>
      <c r="D209" s="6">
        <f>IF('2_Cleaned_Data'!D208="Airport",1,0)</f>
        <v>0</v>
      </c>
      <c r="E209" s="6">
        <f>IF('2_Cleaned_Data'!D208="High Street",1,0)</f>
        <v>0</v>
      </c>
      <c r="F209" s="6">
        <f>IF('2_Cleaned_Data'!D208="Mall",1,0)</f>
        <v>0</v>
      </c>
    </row>
    <row r="210" spans="1:6" x14ac:dyDescent="0.45">
      <c r="A210" s="5" t="str">
        <f>'2_Cleaned_Data'!A209</f>
        <v>STR-1054</v>
      </c>
      <c r="B210" s="18">
        <f>'2_Cleaned_Data'!B209</f>
        <v>45717</v>
      </c>
      <c r="C210" s="5" t="str">
        <f>'2_Cleaned_Data'!D209</f>
        <v>Residential</v>
      </c>
      <c r="D210" s="6">
        <f>IF('2_Cleaned_Data'!D209="Airport",1,0)</f>
        <v>0</v>
      </c>
      <c r="E210" s="6">
        <f>IF('2_Cleaned_Data'!D209="High Street",1,0)</f>
        <v>0</v>
      </c>
      <c r="F210" s="6">
        <f>IF('2_Cleaned_Data'!D209="Mall",1,0)</f>
        <v>0</v>
      </c>
    </row>
    <row r="211" spans="1:6" x14ac:dyDescent="0.45">
      <c r="A211" s="5" t="str">
        <f>'2_Cleaned_Data'!A210</f>
        <v>STR-1054</v>
      </c>
      <c r="B211" s="18">
        <f>'2_Cleaned_Data'!B210</f>
        <v>45748</v>
      </c>
      <c r="C211" s="5" t="str">
        <f>'2_Cleaned_Data'!D210</f>
        <v>Residential</v>
      </c>
      <c r="D211" s="6">
        <f>IF('2_Cleaned_Data'!D210="Airport",1,0)</f>
        <v>0</v>
      </c>
      <c r="E211" s="6">
        <f>IF('2_Cleaned_Data'!D210="High Street",1,0)</f>
        <v>0</v>
      </c>
      <c r="F211" s="6">
        <f>IF('2_Cleaned_Data'!D210="Mall",1,0)</f>
        <v>0</v>
      </c>
    </row>
    <row r="212" spans="1:6" x14ac:dyDescent="0.45">
      <c r="A212" s="5" t="str">
        <f>'2_Cleaned_Data'!A211</f>
        <v>STR-1055</v>
      </c>
      <c r="B212" s="18">
        <f>'2_Cleaned_Data'!B211</f>
        <v>45658</v>
      </c>
      <c r="C212" s="5" t="str">
        <f>'2_Cleaned_Data'!D211</f>
        <v>Airport</v>
      </c>
      <c r="D212" s="6">
        <f>IF('2_Cleaned_Data'!D211="Airport",1,0)</f>
        <v>1</v>
      </c>
      <c r="E212" s="6">
        <f>IF('2_Cleaned_Data'!D211="High Street",1,0)</f>
        <v>0</v>
      </c>
      <c r="F212" s="6">
        <f>IF('2_Cleaned_Data'!D211="Mall",1,0)</f>
        <v>0</v>
      </c>
    </row>
    <row r="213" spans="1:6" x14ac:dyDescent="0.45">
      <c r="A213" s="5" t="str">
        <f>'2_Cleaned_Data'!A212</f>
        <v>STR-1055</v>
      </c>
      <c r="B213" s="18">
        <f>'2_Cleaned_Data'!B212</f>
        <v>45689</v>
      </c>
      <c r="C213" s="5" t="str">
        <f>'2_Cleaned_Data'!D212</f>
        <v>Airport</v>
      </c>
      <c r="D213" s="6">
        <f>IF('2_Cleaned_Data'!D212="Airport",1,0)</f>
        <v>1</v>
      </c>
      <c r="E213" s="6">
        <f>IF('2_Cleaned_Data'!D212="High Street",1,0)</f>
        <v>0</v>
      </c>
      <c r="F213" s="6">
        <f>IF('2_Cleaned_Data'!D212="Mall",1,0)</f>
        <v>0</v>
      </c>
    </row>
    <row r="214" spans="1:6" x14ac:dyDescent="0.45">
      <c r="A214" s="5" t="str">
        <f>'2_Cleaned_Data'!A213</f>
        <v>STR-1055</v>
      </c>
      <c r="B214" s="18">
        <f>'2_Cleaned_Data'!B213</f>
        <v>45717</v>
      </c>
      <c r="C214" s="5" t="str">
        <f>'2_Cleaned_Data'!D213</f>
        <v>Airport</v>
      </c>
      <c r="D214" s="6">
        <f>IF('2_Cleaned_Data'!D213="Airport",1,0)</f>
        <v>1</v>
      </c>
      <c r="E214" s="6">
        <f>IF('2_Cleaned_Data'!D213="High Street",1,0)</f>
        <v>0</v>
      </c>
      <c r="F214" s="6">
        <f>IF('2_Cleaned_Data'!D213="Mall",1,0)</f>
        <v>0</v>
      </c>
    </row>
    <row r="215" spans="1:6" x14ac:dyDescent="0.45">
      <c r="A215" s="5" t="str">
        <f>'2_Cleaned_Data'!A214</f>
        <v>STR-1055</v>
      </c>
      <c r="B215" s="18">
        <f>'2_Cleaned_Data'!B214</f>
        <v>45748</v>
      </c>
      <c r="C215" s="5" t="str">
        <f>'2_Cleaned_Data'!D214</f>
        <v>Airport</v>
      </c>
      <c r="D215" s="6">
        <f>IF('2_Cleaned_Data'!D214="Airport",1,0)</f>
        <v>1</v>
      </c>
      <c r="E215" s="6">
        <f>IF('2_Cleaned_Data'!D214="High Street",1,0)</f>
        <v>0</v>
      </c>
      <c r="F215" s="6">
        <f>IF('2_Cleaned_Data'!D214="Mall",1,0)</f>
        <v>0</v>
      </c>
    </row>
    <row r="216" spans="1:6" x14ac:dyDescent="0.45">
      <c r="A216" s="5" t="str">
        <f>'2_Cleaned_Data'!A215</f>
        <v>STR-1056</v>
      </c>
      <c r="B216" s="18">
        <f>'2_Cleaned_Data'!B215</f>
        <v>45658</v>
      </c>
      <c r="C216" s="5" t="str">
        <f>'2_Cleaned_Data'!D215</f>
        <v>High Street</v>
      </c>
      <c r="D216" s="6">
        <f>IF('2_Cleaned_Data'!D215="Airport",1,0)</f>
        <v>0</v>
      </c>
      <c r="E216" s="6">
        <f>IF('2_Cleaned_Data'!D215="High Street",1,0)</f>
        <v>1</v>
      </c>
      <c r="F216" s="6">
        <f>IF('2_Cleaned_Data'!D215="Mall",1,0)</f>
        <v>0</v>
      </c>
    </row>
    <row r="217" spans="1:6" x14ac:dyDescent="0.45">
      <c r="A217" s="5" t="str">
        <f>'2_Cleaned_Data'!A216</f>
        <v>STR-1056</v>
      </c>
      <c r="B217" s="18">
        <f>'2_Cleaned_Data'!B216</f>
        <v>45689</v>
      </c>
      <c r="C217" s="5" t="str">
        <f>'2_Cleaned_Data'!D216</f>
        <v>High Street</v>
      </c>
      <c r="D217" s="6">
        <f>IF('2_Cleaned_Data'!D216="Airport",1,0)</f>
        <v>0</v>
      </c>
      <c r="E217" s="6">
        <f>IF('2_Cleaned_Data'!D216="High Street",1,0)</f>
        <v>1</v>
      </c>
      <c r="F217" s="6">
        <f>IF('2_Cleaned_Data'!D216="Mall",1,0)</f>
        <v>0</v>
      </c>
    </row>
    <row r="218" spans="1:6" x14ac:dyDescent="0.45">
      <c r="A218" s="5" t="str">
        <f>'2_Cleaned_Data'!A217</f>
        <v>STR-1056</v>
      </c>
      <c r="B218" s="18">
        <f>'2_Cleaned_Data'!B217</f>
        <v>45717</v>
      </c>
      <c r="C218" s="5" t="str">
        <f>'2_Cleaned_Data'!D217</f>
        <v>High Street</v>
      </c>
      <c r="D218" s="6">
        <f>IF('2_Cleaned_Data'!D217="Airport",1,0)</f>
        <v>0</v>
      </c>
      <c r="E218" s="6">
        <f>IF('2_Cleaned_Data'!D217="High Street",1,0)</f>
        <v>1</v>
      </c>
      <c r="F218" s="6">
        <f>IF('2_Cleaned_Data'!D217="Mall",1,0)</f>
        <v>0</v>
      </c>
    </row>
    <row r="219" spans="1:6" x14ac:dyDescent="0.45">
      <c r="A219" s="5" t="str">
        <f>'2_Cleaned_Data'!A218</f>
        <v>STR-1056</v>
      </c>
      <c r="B219" s="18">
        <f>'2_Cleaned_Data'!B218</f>
        <v>45748</v>
      </c>
      <c r="C219" s="5" t="str">
        <f>'2_Cleaned_Data'!D218</f>
        <v>High Street</v>
      </c>
      <c r="D219" s="6">
        <f>IF('2_Cleaned_Data'!D218="Airport",1,0)</f>
        <v>0</v>
      </c>
      <c r="E219" s="6">
        <f>IF('2_Cleaned_Data'!D218="High Street",1,0)</f>
        <v>1</v>
      </c>
      <c r="F219" s="6">
        <f>IF('2_Cleaned_Data'!D218="Mall",1,0)</f>
        <v>0</v>
      </c>
    </row>
    <row r="220" spans="1:6" x14ac:dyDescent="0.45">
      <c r="A220" s="5" t="str">
        <f>'2_Cleaned_Data'!A219</f>
        <v>STR-1057</v>
      </c>
      <c r="B220" s="18">
        <f>'2_Cleaned_Data'!B219</f>
        <v>45658</v>
      </c>
      <c r="C220" s="5" t="str">
        <f>'2_Cleaned_Data'!D219</f>
        <v>Mall</v>
      </c>
      <c r="D220" s="6">
        <f>IF('2_Cleaned_Data'!D219="Airport",1,0)</f>
        <v>0</v>
      </c>
      <c r="E220" s="6">
        <f>IF('2_Cleaned_Data'!D219="High Street",1,0)</f>
        <v>0</v>
      </c>
      <c r="F220" s="6">
        <f>IF('2_Cleaned_Data'!D219="Mall",1,0)</f>
        <v>1</v>
      </c>
    </row>
    <row r="221" spans="1:6" x14ac:dyDescent="0.45">
      <c r="A221" s="5" t="str">
        <f>'2_Cleaned_Data'!A220</f>
        <v>STR-1057</v>
      </c>
      <c r="B221" s="18">
        <f>'2_Cleaned_Data'!B220</f>
        <v>45689</v>
      </c>
      <c r="C221" s="5" t="str">
        <f>'2_Cleaned_Data'!D220</f>
        <v>Mall</v>
      </c>
      <c r="D221" s="6">
        <f>IF('2_Cleaned_Data'!D220="Airport",1,0)</f>
        <v>0</v>
      </c>
      <c r="E221" s="6">
        <f>IF('2_Cleaned_Data'!D220="High Street",1,0)</f>
        <v>0</v>
      </c>
      <c r="F221" s="6">
        <f>IF('2_Cleaned_Data'!D220="Mall",1,0)</f>
        <v>1</v>
      </c>
    </row>
    <row r="222" spans="1:6" x14ac:dyDescent="0.45">
      <c r="A222" s="5" t="str">
        <f>'2_Cleaned_Data'!A221</f>
        <v>STR-1057</v>
      </c>
      <c r="B222" s="18">
        <f>'2_Cleaned_Data'!B221</f>
        <v>45717</v>
      </c>
      <c r="C222" s="5" t="str">
        <f>'2_Cleaned_Data'!D221</f>
        <v>Mall</v>
      </c>
      <c r="D222" s="6">
        <f>IF('2_Cleaned_Data'!D221="Airport",1,0)</f>
        <v>0</v>
      </c>
      <c r="E222" s="6">
        <f>IF('2_Cleaned_Data'!D221="High Street",1,0)</f>
        <v>0</v>
      </c>
      <c r="F222" s="6">
        <f>IF('2_Cleaned_Data'!D221="Mall",1,0)</f>
        <v>1</v>
      </c>
    </row>
    <row r="223" spans="1:6" x14ac:dyDescent="0.45">
      <c r="A223" s="5" t="str">
        <f>'2_Cleaned_Data'!A222</f>
        <v>STR-1058</v>
      </c>
      <c r="B223" s="18">
        <f>'2_Cleaned_Data'!B222</f>
        <v>45658</v>
      </c>
      <c r="C223" s="5" t="str">
        <f>'2_Cleaned_Data'!D222</f>
        <v>High Street</v>
      </c>
      <c r="D223" s="6">
        <f>IF('2_Cleaned_Data'!D222="Airport",1,0)</f>
        <v>0</v>
      </c>
      <c r="E223" s="6">
        <f>IF('2_Cleaned_Data'!D222="High Street",1,0)</f>
        <v>1</v>
      </c>
      <c r="F223" s="6">
        <f>IF('2_Cleaned_Data'!D222="Mall",1,0)</f>
        <v>0</v>
      </c>
    </row>
    <row r="224" spans="1:6" x14ac:dyDescent="0.45">
      <c r="A224" s="5" t="str">
        <f>'2_Cleaned_Data'!A223</f>
        <v>STR-1058</v>
      </c>
      <c r="B224" s="18">
        <f>'2_Cleaned_Data'!B223</f>
        <v>45689</v>
      </c>
      <c r="C224" s="5" t="str">
        <f>'2_Cleaned_Data'!D223</f>
        <v>High Street</v>
      </c>
      <c r="D224" s="6">
        <f>IF('2_Cleaned_Data'!D223="Airport",1,0)</f>
        <v>0</v>
      </c>
      <c r="E224" s="6">
        <f>IF('2_Cleaned_Data'!D223="High Street",1,0)</f>
        <v>1</v>
      </c>
      <c r="F224" s="6">
        <f>IF('2_Cleaned_Data'!D223="Mall",1,0)</f>
        <v>0</v>
      </c>
    </row>
    <row r="225" spans="1:6" x14ac:dyDescent="0.45">
      <c r="A225" s="5" t="str">
        <f>'2_Cleaned_Data'!A224</f>
        <v>STR-1058</v>
      </c>
      <c r="B225" s="18">
        <f>'2_Cleaned_Data'!B224</f>
        <v>45717</v>
      </c>
      <c r="C225" s="5" t="str">
        <f>'2_Cleaned_Data'!D224</f>
        <v>High Street</v>
      </c>
      <c r="D225" s="6">
        <f>IF('2_Cleaned_Data'!D224="Airport",1,0)</f>
        <v>0</v>
      </c>
      <c r="E225" s="6">
        <f>IF('2_Cleaned_Data'!D224="High Street",1,0)</f>
        <v>1</v>
      </c>
      <c r="F225" s="6">
        <f>IF('2_Cleaned_Data'!D224="Mall",1,0)</f>
        <v>0</v>
      </c>
    </row>
    <row r="226" spans="1:6" x14ac:dyDescent="0.45">
      <c r="A226" s="5" t="str">
        <f>'2_Cleaned_Data'!A225</f>
        <v>STR-1059</v>
      </c>
      <c r="B226" s="18">
        <f>'2_Cleaned_Data'!B225</f>
        <v>45658</v>
      </c>
      <c r="C226" s="5" t="str">
        <f>'2_Cleaned_Data'!D225</f>
        <v>Residential</v>
      </c>
      <c r="D226" s="6">
        <f>IF('2_Cleaned_Data'!D225="Airport",1,0)</f>
        <v>0</v>
      </c>
      <c r="E226" s="6">
        <f>IF('2_Cleaned_Data'!D225="High Street",1,0)</f>
        <v>0</v>
      </c>
      <c r="F226" s="6">
        <f>IF('2_Cleaned_Data'!D225="Mall",1,0)</f>
        <v>0</v>
      </c>
    </row>
    <row r="227" spans="1:6" x14ac:dyDescent="0.45">
      <c r="A227" s="5" t="str">
        <f>'2_Cleaned_Data'!A226</f>
        <v>STR-1059</v>
      </c>
      <c r="B227" s="18">
        <f>'2_Cleaned_Data'!B226</f>
        <v>45689</v>
      </c>
      <c r="C227" s="5" t="str">
        <f>'2_Cleaned_Data'!D226</f>
        <v>Residential</v>
      </c>
      <c r="D227" s="6">
        <f>IF('2_Cleaned_Data'!D226="Airport",1,0)</f>
        <v>0</v>
      </c>
      <c r="E227" s="6">
        <f>IF('2_Cleaned_Data'!D226="High Street",1,0)</f>
        <v>0</v>
      </c>
      <c r="F227" s="6">
        <f>IF('2_Cleaned_Data'!D226="Mall",1,0)</f>
        <v>0</v>
      </c>
    </row>
    <row r="228" spans="1:6" x14ac:dyDescent="0.45">
      <c r="A228" s="5" t="str">
        <f>'2_Cleaned_Data'!A227</f>
        <v>STR-1059</v>
      </c>
      <c r="B228" s="18">
        <f>'2_Cleaned_Data'!B227</f>
        <v>45717</v>
      </c>
      <c r="C228" s="5" t="str">
        <f>'2_Cleaned_Data'!D227</f>
        <v>Residential</v>
      </c>
      <c r="D228" s="6">
        <f>IF('2_Cleaned_Data'!D227="Airport",1,0)</f>
        <v>0</v>
      </c>
      <c r="E228" s="6">
        <f>IF('2_Cleaned_Data'!D227="High Street",1,0)</f>
        <v>0</v>
      </c>
      <c r="F228" s="6">
        <f>IF('2_Cleaned_Data'!D227="Mall",1,0)</f>
        <v>0</v>
      </c>
    </row>
    <row r="229" spans="1:6" x14ac:dyDescent="0.45">
      <c r="A229" s="5" t="str">
        <f>'2_Cleaned_Data'!A228</f>
        <v>STR-1059</v>
      </c>
      <c r="B229" s="18">
        <f>'2_Cleaned_Data'!B228</f>
        <v>45748</v>
      </c>
      <c r="C229" s="5" t="str">
        <f>'2_Cleaned_Data'!D228</f>
        <v>Residential</v>
      </c>
      <c r="D229" s="6">
        <f>IF('2_Cleaned_Data'!D228="Airport",1,0)</f>
        <v>0</v>
      </c>
      <c r="E229" s="6">
        <f>IF('2_Cleaned_Data'!D228="High Street",1,0)</f>
        <v>0</v>
      </c>
      <c r="F229" s="6">
        <f>IF('2_Cleaned_Data'!D228="Mall",1,0)</f>
        <v>0</v>
      </c>
    </row>
    <row r="230" spans="1:6" x14ac:dyDescent="0.45">
      <c r="A230" s="5" t="str">
        <f>'2_Cleaned_Data'!A229</f>
        <v>STR-1060</v>
      </c>
      <c r="B230" s="18">
        <f>'2_Cleaned_Data'!B229</f>
        <v>45658</v>
      </c>
      <c r="C230" s="5" t="str">
        <f>'2_Cleaned_Data'!D229</f>
        <v>Mall</v>
      </c>
      <c r="D230" s="6">
        <f>IF('2_Cleaned_Data'!D229="Airport",1,0)</f>
        <v>0</v>
      </c>
      <c r="E230" s="6">
        <f>IF('2_Cleaned_Data'!D229="High Street",1,0)</f>
        <v>0</v>
      </c>
      <c r="F230" s="6">
        <f>IF('2_Cleaned_Data'!D229="Mall",1,0)</f>
        <v>1</v>
      </c>
    </row>
    <row r="231" spans="1:6" x14ac:dyDescent="0.45">
      <c r="A231" s="5" t="str">
        <f>'2_Cleaned_Data'!A230</f>
        <v>STR-1060</v>
      </c>
      <c r="B231" s="18">
        <f>'2_Cleaned_Data'!B230</f>
        <v>45689</v>
      </c>
      <c r="C231" s="5" t="str">
        <f>'2_Cleaned_Data'!D230</f>
        <v>Mall</v>
      </c>
      <c r="D231" s="6">
        <f>IF('2_Cleaned_Data'!D230="Airport",1,0)</f>
        <v>0</v>
      </c>
      <c r="E231" s="6">
        <f>IF('2_Cleaned_Data'!D230="High Street",1,0)</f>
        <v>0</v>
      </c>
      <c r="F231" s="6">
        <f>IF('2_Cleaned_Data'!D230="Mall",1,0)</f>
        <v>1</v>
      </c>
    </row>
    <row r="232" spans="1:6" x14ac:dyDescent="0.45">
      <c r="A232" s="5" t="str">
        <f>'2_Cleaned_Data'!A231</f>
        <v>STR-1060</v>
      </c>
      <c r="B232" s="18">
        <f>'2_Cleaned_Data'!B231</f>
        <v>45717</v>
      </c>
      <c r="C232" s="5" t="str">
        <f>'2_Cleaned_Data'!D231</f>
        <v>Mall</v>
      </c>
      <c r="D232" s="6">
        <f>IF('2_Cleaned_Data'!D231="Airport",1,0)</f>
        <v>0</v>
      </c>
      <c r="E232" s="6">
        <f>IF('2_Cleaned_Data'!D231="High Street",1,0)</f>
        <v>0</v>
      </c>
      <c r="F232" s="6">
        <f>IF('2_Cleaned_Data'!D231="Mall",1,0)</f>
        <v>1</v>
      </c>
    </row>
    <row r="233" spans="1:6" x14ac:dyDescent="0.45">
      <c r="A233" s="5" t="str">
        <f>'2_Cleaned_Data'!A232</f>
        <v>STR-1060</v>
      </c>
      <c r="B233" s="18">
        <f>'2_Cleaned_Data'!B232</f>
        <v>45748</v>
      </c>
      <c r="C233" s="5" t="str">
        <f>'2_Cleaned_Data'!D232</f>
        <v>Mall</v>
      </c>
      <c r="D233" s="6">
        <f>IF('2_Cleaned_Data'!D232="Airport",1,0)</f>
        <v>0</v>
      </c>
      <c r="E233" s="6">
        <f>IF('2_Cleaned_Data'!D232="High Street",1,0)</f>
        <v>0</v>
      </c>
      <c r="F233" s="6">
        <f>IF('2_Cleaned_Data'!D232="Mall",1,0)</f>
        <v>1</v>
      </c>
    </row>
    <row r="234" spans="1:6" x14ac:dyDescent="0.45">
      <c r="A234" s="5" t="str">
        <f>'2_Cleaned_Data'!A233</f>
        <v>STR-1061</v>
      </c>
      <c r="B234" s="18">
        <f>'2_Cleaned_Data'!B233</f>
        <v>45658</v>
      </c>
      <c r="C234" s="5" t="str">
        <f>'2_Cleaned_Data'!D233</f>
        <v>Airport</v>
      </c>
      <c r="D234" s="6">
        <f>IF('2_Cleaned_Data'!D233="Airport",1,0)</f>
        <v>1</v>
      </c>
      <c r="E234" s="6">
        <f>IF('2_Cleaned_Data'!D233="High Street",1,0)</f>
        <v>0</v>
      </c>
      <c r="F234" s="6">
        <f>IF('2_Cleaned_Data'!D233="Mall",1,0)</f>
        <v>0</v>
      </c>
    </row>
    <row r="235" spans="1:6" x14ac:dyDescent="0.45">
      <c r="A235" s="5" t="str">
        <f>'2_Cleaned_Data'!A234</f>
        <v>STR-1061</v>
      </c>
      <c r="B235" s="18">
        <f>'2_Cleaned_Data'!B234</f>
        <v>45689</v>
      </c>
      <c r="C235" s="5" t="str">
        <f>'2_Cleaned_Data'!D234</f>
        <v>Airport</v>
      </c>
      <c r="D235" s="6">
        <f>IF('2_Cleaned_Data'!D234="Airport",1,0)</f>
        <v>1</v>
      </c>
      <c r="E235" s="6">
        <f>IF('2_Cleaned_Data'!D234="High Street",1,0)</f>
        <v>0</v>
      </c>
      <c r="F235" s="6">
        <f>IF('2_Cleaned_Data'!D234="Mall",1,0)</f>
        <v>0</v>
      </c>
    </row>
    <row r="236" spans="1:6" x14ac:dyDescent="0.45">
      <c r="A236" s="5" t="str">
        <f>'2_Cleaned_Data'!A235</f>
        <v>STR-1061</v>
      </c>
      <c r="B236" s="18">
        <f>'2_Cleaned_Data'!B235</f>
        <v>45717</v>
      </c>
      <c r="C236" s="5" t="str">
        <f>'2_Cleaned_Data'!D235</f>
        <v>Airport</v>
      </c>
      <c r="D236" s="6">
        <f>IF('2_Cleaned_Data'!D235="Airport",1,0)</f>
        <v>1</v>
      </c>
      <c r="E236" s="6">
        <f>IF('2_Cleaned_Data'!D235="High Street",1,0)</f>
        <v>0</v>
      </c>
      <c r="F236" s="6">
        <f>IF('2_Cleaned_Data'!D235="Mall",1,0)</f>
        <v>0</v>
      </c>
    </row>
    <row r="237" spans="1:6" x14ac:dyDescent="0.45">
      <c r="A237" s="5" t="str">
        <f>'2_Cleaned_Data'!A236</f>
        <v>STR-1061</v>
      </c>
      <c r="B237" s="18">
        <f>'2_Cleaned_Data'!B236</f>
        <v>45748</v>
      </c>
      <c r="C237" s="5" t="str">
        <f>'2_Cleaned_Data'!D236</f>
        <v>Airport</v>
      </c>
      <c r="D237" s="6">
        <f>IF('2_Cleaned_Data'!D236="Airport",1,0)</f>
        <v>1</v>
      </c>
      <c r="E237" s="6">
        <f>IF('2_Cleaned_Data'!D236="High Street",1,0)</f>
        <v>0</v>
      </c>
      <c r="F237" s="6">
        <f>IF('2_Cleaned_Data'!D236="Mall",1,0)</f>
        <v>0</v>
      </c>
    </row>
    <row r="238" spans="1:6" x14ac:dyDescent="0.45">
      <c r="A238" s="5" t="str">
        <f>'2_Cleaned_Data'!A237</f>
        <v>STR-1062</v>
      </c>
      <c r="B238" s="18">
        <f>'2_Cleaned_Data'!B237</f>
        <v>45658</v>
      </c>
      <c r="C238" s="5" t="str">
        <f>'2_Cleaned_Data'!D237</f>
        <v>High Street</v>
      </c>
      <c r="D238" s="6">
        <f>IF('2_Cleaned_Data'!D237="Airport",1,0)</f>
        <v>0</v>
      </c>
      <c r="E238" s="6">
        <f>IF('2_Cleaned_Data'!D237="High Street",1,0)</f>
        <v>1</v>
      </c>
      <c r="F238" s="6">
        <f>IF('2_Cleaned_Data'!D237="Mall",1,0)</f>
        <v>0</v>
      </c>
    </row>
    <row r="239" spans="1:6" x14ac:dyDescent="0.45">
      <c r="A239" s="5" t="str">
        <f>'2_Cleaned_Data'!A238</f>
        <v>STR-1062</v>
      </c>
      <c r="B239" s="18">
        <f>'2_Cleaned_Data'!B238</f>
        <v>45689</v>
      </c>
      <c r="C239" s="5" t="str">
        <f>'2_Cleaned_Data'!D238</f>
        <v>High Street</v>
      </c>
      <c r="D239" s="6">
        <f>IF('2_Cleaned_Data'!D238="Airport",1,0)</f>
        <v>0</v>
      </c>
      <c r="E239" s="6">
        <f>IF('2_Cleaned_Data'!D238="High Street",1,0)</f>
        <v>1</v>
      </c>
      <c r="F239" s="6">
        <f>IF('2_Cleaned_Data'!D238="Mall",1,0)</f>
        <v>0</v>
      </c>
    </row>
    <row r="240" spans="1:6" x14ac:dyDescent="0.45">
      <c r="A240" s="5" t="str">
        <f>'2_Cleaned_Data'!A239</f>
        <v>STR-1062</v>
      </c>
      <c r="B240" s="18">
        <f>'2_Cleaned_Data'!B239</f>
        <v>45717</v>
      </c>
      <c r="C240" s="5" t="str">
        <f>'2_Cleaned_Data'!D239</f>
        <v>High Street</v>
      </c>
      <c r="D240" s="6">
        <f>IF('2_Cleaned_Data'!D239="Airport",1,0)</f>
        <v>0</v>
      </c>
      <c r="E240" s="6">
        <f>IF('2_Cleaned_Data'!D239="High Street",1,0)</f>
        <v>1</v>
      </c>
      <c r="F240" s="6">
        <f>IF('2_Cleaned_Data'!D239="Mall",1,0)</f>
        <v>0</v>
      </c>
    </row>
    <row r="241" spans="1:6" x14ac:dyDescent="0.45">
      <c r="A241" s="5" t="str">
        <f>'2_Cleaned_Data'!A240</f>
        <v>STR-1062</v>
      </c>
      <c r="B241" s="18">
        <f>'2_Cleaned_Data'!B240</f>
        <v>45748</v>
      </c>
      <c r="C241" s="5" t="str">
        <f>'2_Cleaned_Data'!D240</f>
        <v>High Street</v>
      </c>
      <c r="D241" s="6">
        <f>IF('2_Cleaned_Data'!D240="Airport",1,0)</f>
        <v>0</v>
      </c>
      <c r="E241" s="6">
        <f>IF('2_Cleaned_Data'!D240="High Street",1,0)</f>
        <v>1</v>
      </c>
      <c r="F241" s="6">
        <f>IF('2_Cleaned_Data'!D240="Mall",1,0)</f>
        <v>0</v>
      </c>
    </row>
    <row r="242" spans="1:6" x14ac:dyDescent="0.45">
      <c r="A242" s="5" t="str">
        <f>'2_Cleaned_Data'!A241</f>
        <v>STR-1063</v>
      </c>
      <c r="B242" s="18">
        <f>'2_Cleaned_Data'!B241</f>
        <v>45689</v>
      </c>
      <c r="C242" s="5" t="str">
        <f>'2_Cleaned_Data'!D241</f>
        <v>High Street</v>
      </c>
      <c r="D242" s="6">
        <f>IF('2_Cleaned_Data'!D241="Airport",1,0)</f>
        <v>0</v>
      </c>
      <c r="E242" s="6">
        <f>IF('2_Cleaned_Data'!D241="High Street",1,0)</f>
        <v>1</v>
      </c>
      <c r="F242" s="6">
        <f>IF('2_Cleaned_Data'!D241="Mall",1,0)</f>
        <v>0</v>
      </c>
    </row>
    <row r="243" spans="1:6" x14ac:dyDescent="0.45">
      <c r="A243" s="5" t="str">
        <f>'2_Cleaned_Data'!A242</f>
        <v>STR-1063</v>
      </c>
      <c r="B243" s="18">
        <f>'2_Cleaned_Data'!B242</f>
        <v>45717</v>
      </c>
      <c r="C243" s="5" t="str">
        <f>'2_Cleaned_Data'!D242</f>
        <v>High Street</v>
      </c>
      <c r="D243" s="6">
        <f>IF('2_Cleaned_Data'!D242="Airport",1,0)</f>
        <v>0</v>
      </c>
      <c r="E243" s="6">
        <f>IF('2_Cleaned_Data'!D242="High Street",1,0)</f>
        <v>1</v>
      </c>
      <c r="F243" s="6">
        <f>IF('2_Cleaned_Data'!D242="Mall",1,0)</f>
        <v>0</v>
      </c>
    </row>
    <row r="244" spans="1:6" x14ac:dyDescent="0.45">
      <c r="A244" s="5" t="str">
        <f>'2_Cleaned_Data'!A243</f>
        <v>STR-1063</v>
      </c>
      <c r="B244" s="18">
        <f>'2_Cleaned_Data'!B243</f>
        <v>45748</v>
      </c>
      <c r="C244" s="5" t="str">
        <f>'2_Cleaned_Data'!D243</f>
        <v>High Street</v>
      </c>
      <c r="D244" s="6">
        <f>IF('2_Cleaned_Data'!D243="Airport",1,0)</f>
        <v>0</v>
      </c>
      <c r="E244" s="6">
        <f>IF('2_Cleaned_Data'!D243="High Street",1,0)</f>
        <v>1</v>
      </c>
      <c r="F244" s="6">
        <f>IF('2_Cleaned_Data'!D243="Mall",1,0)</f>
        <v>0</v>
      </c>
    </row>
    <row r="245" spans="1:6" x14ac:dyDescent="0.45">
      <c r="A245" s="5" t="str">
        <f>'2_Cleaned_Data'!A244</f>
        <v>STR-1064</v>
      </c>
      <c r="B245" s="18">
        <f>'2_Cleaned_Data'!B244</f>
        <v>45658</v>
      </c>
      <c r="C245" s="5" t="str">
        <f>'2_Cleaned_Data'!D244</f>
        <v>Airport</v>
      </c>
      <c r="D245" s="6">
        <f>IF('2_Cleaned_Data'!D244="Airport",1,0)</f>
        <v>1</v>
      </c>
      <c r="E245" s="6">
        <f>IF('2_Cleaned_Data'!D244="High Street",1,0)</f>
        <v>0</v>
      </c>
      <c r="F245" s="6">
        <f>IF('2_Cleaned_Data'!D244="Mall",1,0)</f>
        <v>0</v>
      </c>
    </row>
    <row r="246" spans="1:6" x14ac:dyDescent="0.45">
      <c r="A246" s="5" t="str">
        <f>'2_Cleaned_Data'!A245</f>
        <v>STR-1064</v>
      </c>
      <c r="B246" s="18">
        <f>'2_Cleaned_Data'!B245</f>
        <v>45689</v>
      </c>
      <c r="C246" s="5" t="str">
        <f>'2_Cleaned_Data'!D245</f>
        <v>Airport</v>
      </c>
      <c r="D246" s="6">
        <f>IF('2_Cleaned_Data'!D245="Airport",1,0)</f>
        <v>1</v>
      </c>
      <c r="E246" s="6">
        <f>IF('2_Cleaned_Data'!D245="High Street",1,0)</f>
        <v>0</v>
      </c>
      <c r="F246" s="6">
        <f>IF('2_Cleaned_Data'!D245="Mall",1,0)</f>
        <v>0</v>
      </c>
    </row>
    <row r="247" spans="1:6" x14ac:dyDescent="0.45">
      <c r="A247" s="5" t="str">
        <f>'2_Cleaned_Data'!A246</f>
        <v>STR-1064</v>
      </c>
      <c r="B247" s="18">
        <f>'2_Cleaned_Data'!B246</f>
        <v>45717</v>
      </c>
      <c r="C247" s="5" t="str">
        <f>'2_Cleaned_Data'!D246</f>
        <v>Airport</v>
      </c>
      <c r="D247" s="6">
        <f>IF('2_Cleaned_Data'!D246="Airport",1,0)</f>
        <v>1</v>
      </c>
      <c r="E247" s="6">
        <f>IF('2_Cleaned_Data'!D246="High Street",1,0)</f>
        <v>0</v>
      </c>
      <c r="F247" s="6">
        <f>IF('2_Cleaned_Data'!D246="Mall",1,0)</f>
        <v>0</v>
      </c>
    </row>
    <row r="248" spans="1:6" x14ac:dyDescent="0.45">
      <c r="A248" s="5" t="str">
        <f>'2_Cleaned_Data'!A247</f>
        <v>STR-1064</v>
      </c>
      <c r="B248" s="18">
        <f>'2_Cleaned_Data'!B247</f>
        <v>45748</v>
      </c>
      <c r="C248" s="5" t="str">
        <f>'2_Cleaned_Data'!D247</f>
        <v>Airport</v>
      </c>
      <c r="D248" s="6">
        <f>IF('2_Cleaned_Data'!D247="Airport",1,0)</f>
        <v>1</v>
      </c>
      <c r="E248" s="6">
        <f>IF('2_Cleaned_Data'!D247="High Street",1,0)</f>
        <v>0</v>
      </c>
      <c r="F248" s="6">
        <f>IF('2_Cleaned_Data'!D247="Mall",1,0)</f>
        <v>0</v>
      </c>
    </row>
    <row r="249" spans="1:6" x14ac:dyDescent="0.45">
      <c r="A249" s="5" t="str">
        <f>'2_Cleaned_Data'!A248</f>
        <v>STR-1065</v>
      </c>
      <c r="B249" s="18">
        <f>'2_Cleaned_Data'!B248</f>
        <v>45658</v>
      </c>
      <c r="C249" s="5" t="str">
        <f>'2_Cleaned_Data'!D248</f>
        <v>Mall</v>
      </c>
      <c r="D249" s="6">
        <f>IF('2_Cleaned_Data'!D248="Airport",1,0)</f>
        <v>0</v>
      </c>
      <c r="E249" s="6">
        <f>IF('2_Cleaned_Data'!D248="High Street",1,0)</f>
        <v>0</v>
      </c>
      <c r="F249" s="6">
        <f>IF('2_Cleaned_Data'!D248="Mall",1,0)</f>
        <v>1</v>
      </c>
    </row>
    <row r="250" spans="1:6" x14ac:dyDescent="0.45">
      <c r="A250" s="5" t="str">
        <f>'2_Cleaned_Data'!A249</f>
        <v>STR-1065</v>
      </c>
      <c r="B250" s="18">
        <f>'2_Cleaned_Data'!B249</f>
        <v>45689</v>
      </c>
      <c r="C250" s="5" t="str">
        <f>'2_Cleaned_Data'!D249</f>
        <v>Mall</v>
      </c>
      <c r="D250" s="6">
        <f>IF('2_Cleaned_Data'!D249="Airport",1,0)</f>
        <v>0</v>
      </c>
      <c r="E250" s="6">
        <f>IF('2_Cleaned_Data'!D249="High Street",1,0)</f>
        <v>0</v>
      </c>
      <c r="F250" s="6">
        <f>IF('2_Cleaned_Data'!D249="Mall",1,0)</f>
        <v>1</v>
      </c>
    </row>
    <row r="251" spans="1:6" x14ac:dyDescent="0.45">
      <c r="A251" s="5" t="str">
        <f>'2_Cleaned_Data'!A250</f>
        <v>STR-1065</v>
      </c>
      <c r="B251" s="18">
        <f>'2_Cleaned_Data'!B250</f>
        <v>45717</v>
      </c>
      <c r="C251" s="5" t="str">
        <f>'2_Cleaned_Data'!D250</f>
        <v>Mall</v>
      </c>
      <c r="D251" s="6">
        <f>IF('2_Cleaned_Data'!D250="Airport",1,0)</f>
        <v>0</v>
      </c>
      <c r="E251" s="6">
        <f>IF('2_Cleaned_Data'!D250="High Street",1,0)</f>
        <v>0</v>
      </c>
      <c r="F251" s="6">
        <f>IF('2_Cleaned_Data'!D250="Mall",1,0)</f>
        <v>1</v>
      </c>
    </row>
    <row r="252" spans="1:6" x14ac:dyDescent="0.45">
      <c r="A252" s="5" t="str">
        <f>'2_Cleaned_Data'!A251</f>
        <v>STR-1065</v>
      </c>
      <c r="B252" s="18">
        <f>'2_Cleaned_Data'!B251</f>
        <v>45748</v>
      </c>
      <c r="C252" s="5" t="str">
        <f>'2_Cleaned_Data'!D251</f>
        <v>Mall</v>
      </c>
      <c r="D252" s="6">
        <f>IF('2_Cleaned_Data'!D251="Airport",1,0)</f>
        <v>0</v>
      </c>
      <c r="E252" s="6">
        <f>IF('2_Cleaned_Data'!D251="High Street",1,0)</f>
        <v>0</v>
      </c>
      <c r="F252" s="6">
        <f>IF('2_Cleaned_Data'!D251="Mall",1,0)</f>
        <v>1</v>
      </c>
    </row>
    <row r="253" spans="1:6" x14ac:dyDescent="0.45">
      <c r="A253" s="5" t="str">
        <f>'2_Cleaned_Data'!A252</f>
        <v>STR-1066</v>
      </c>
      <c r="B253" s="18">
        <f>'2_Cleaned_Data'!B252</f>
        <v>45658</v>
      </c>
      <c r="C253" s="5" t="str">
        <f>'2_Cleaned_Data'!D252</f>
        <v>High Street</v>
      </c>
      <c r="D253" s="6">
        <f>IF('2_Cleaned_Data'!D252="Airport",1,0)</f>
        <v>0</v>
      </c>
      <c r="E253" s="6">
        <f>IF('2_Cleaned_Data'!D252="High Street",1,0)</f>
        <v>1</v>
      </c>
      <c r="F253" s="6">
        <f>IF('2_Cleaned_Data'!D252="Mall",1,0)</f>
        <v>0</v>
      </c>
    </row>
    <row r="254" spans="1:6" x14ac:dyDescent="0.45">
      <c r="A254" s="5" t="str">
        <f>'2_Cleaned_Data'!A253</f>
        <v>STR-1066</v>
      </c>
      <c r="B254" s="18">
        <f>'2_Cleaned_Data'!B253</f>
        <v>45717</v>
      </c>
      <c r="C254" s="5" t="str">
        <f>'2_Cleaned_Data'!D253</f>
        <v>High Street</v>
      </c>
      <c r="D254" s="6">
        <f>IF('2_Cleaned_Data'!D253="Airport",1,0)</f>
        <v>0</v>
      </c>
      <c r="E254" s="6">
        <f>IF('2_Cleaned_Data'!D253="High Street",1,0)</f>
        <v>1</v>
      </c>
      <c r="F254" s="6">
        <f>IF('2_Cleaned_Data'!D253="Mall",1,0)</f>
        <v>0</v>
      </c>
    </row>
    <row r="255" spans="1:6" x14ac:dyDescent="0.45">
      <c r="A255" s="5" t="str">
        <f>'2_Cleaned_Data'!A254</f>
        <v>STR-1066</v>
      </c>
      <c r="B255" s="18">
        <f>'2_Cleaned_Data'!B254</f>
        <v>45748</v>
      </c>
      <c r="C255" s="5" t="str">
        <f>'2_Cleaned_Data'!D254</f>
        <v>High Street</v>
      </c>
      <c r="D255" s="6">
        <f>IF('2_Cleaned_Data'!D254="Airport",1,0)</f>
        <v>0</v>
      </c>
      <c r="E255" s="6">
        <f>IF('2_Cleaned_Data'!D254="High Street",1,0)</f>
        <v>1</v>
      </c>
      <c r="F255" s="6">
        <f>IF('2_Cleaned_Data'!D254="Mall",1,0)</f>
        <v>0</v>
      </c>
    </row>
    <row r="256" spans="1:6" x14ac:dyDescent="0.45">
      <c r="A256" s="5" t="str">
        <f>'2_Cleaned_Data'!A255</f>
        <v>STR-1067</v>
      </c>
      <c r="B256" s="18">
        <f>'2_Cleaned_Data'!B255</f>
        <v>45658</v>
      </c>
      <c r="C256" s="5" t="str">
        <f>'2_Cleaned_Data'!D255</f>
        <v>High Street</v>
      </c>
      <c r="D256" s="6">
        <f>IF('2_Cleaned_Data'!D255="Airport",1,0)</f>
        <v>0</v>
      </c>
      <c r="E256" s="6">
        <f>IF('2_Cleaned_Data'!D255="High Street",1,0)</f>
        <v>1</v>
      </c>
      <c r="F256" s="6">
        <f>IF('2_Cleaned_Data'!D255="Mall",1,0)</f>
        <v>0</v>
      </c>
    </row>
    <row r="257" spans="1:6" x14ac:dyDescent="0.45">
      <c r="A257" s="5" t="str">
        <f>'2_Cleaned_Data'!A256</f>
        <v>STR-1067</v>
      </c>
      <c r="B257" s="18">
        <f>'2_Cleaned_Data'!B256</f>
        <v>45689</v>
      </c>
      <c r="C257" s="5" t="str">
        <f>'2_Cleaned_Data'!D256</f>
        <v>High Street</v>
      </c>
      <c r="D257" s="6">
        <f>IF('2_Cleaned_Data'!D256="Airport",1,0)</f>
        <v>0</v>
      </c>
      <c r="E257" s="6">
        <f>IF('2_Cleaned_Data'!D256="High Street",1,0)</f>
        <v>1</v>
      </c>
      <c r="F257" s="6">
        <f>IF('2_Cleaned_Data'!D256="Mall",1,0)</f>
        <v>0</v>
      </c>
    </row>
    <row r="258" spans="1:6" x14ac:dyDescent="0.45">
      <c r="A258" s="5" t="str">
        <f>'2_Cleaned_Data'!A257</f>
        <v>STR-1067</v>
      </c>
      <c r="B258" s="18">
        <f>'2_Cleaned_Data'!B257</f>
        <v>45717</v>
      </c>
      <c r="C258" s="5" t="str">
        <f>'2_Cleaned_Data'!D257</f>
        <v>High Street</v>
      </c>
      <c r="D258" s="6">
        <f>IF('2_Cleaned_Data'!D257="Airport",1,0)</f>
        <v>0</v>
      </c>
      <c r="E258" s="6">
        <f>IF('2_Cleaned_Data'!D257="High Street",1,0)</f>
        <v>1</v>
      </c>
      <c r="F258" s="6">
        <f>IF('2_Cleaned_Data'!D257="Mall",1,0)</f>
        <v>0</v>
      </c>
    </row>
    <row r="259" spans="1:6" x14ac:dyDescent="0.45">
      <c r="A259" s="5" t="str">
        <f>'2_Cleaned_Data'!A258</f>
        <v>STR-1067</v>
      </c>
      <c r="B259" s="18">
        <f>'2_Cleaned_Data'!B258</f>
        <v>45748</v>
      </c>
      <c r="C259" s="5" t="str">
        <f>'2_Cleaned_Data'!D258</f>
        <v>High Street</v>
      </c>
      <c r="D259" s="6">
        <f>IF('2_Cleaned_Data'!D258="Airport",1,0)</f>
        <v>0</v>
      </c>
      <c r="E259" s="6">
        <f>IF('2_Cleaned_Data'!D258="High Street",1,0)</f>
        <v>1</v>
      </c>
      <c r="F259" s="6">
        <f>IF('2_Cleaned_Data'!D258="Mall",1,0)</f>
        <v>0</v>
      </c>
    </row>
    <row r="260" spans="1:6" x14ac:dyDescent="0.45">
      <c r="A260" s="5" t="str">
        <f>'2_Cleaned_Data'!A259</f>
        <v>STR-1068</v>
      </c>
      <c r="B260" s="18">
        <f>'2_Cleaned_Data'!B259</f>
        <v>45658</v>
      </c>
      <c r="C260" s="5" t="str">
        <f>'2_Cleaned_Data'!D259</f>
        <v>Mall</v>
      </c>
      <c r="D260" s="6">
        <f>IF('2_Cleaned_Data'!D259="Airport",1,0)</f>
        <v>0</v>
      </c>
      <c r="E260" s="6">
        <f>IF('2_Cleaned_Data'!D259="High Street",1,0)</f>
        <v>0</v>
      </c>
      <c r="F260" s="6">
        <f>IF('2_Cleaned_Data'!D259="Mall",1,0)</f>
        <v>1</v>
      </c>
    </row>
    <row r="261" spans="1:6" x14ac:dyDescent="0.45">
      <c r="A261" s="5" t="str">
        <f>'2_Cleaned_Data'!A260</f>
        <v>STR-1068</v>
      </c>
      <c r="B261" s="18">
        <f>'2_Cleaned_Data'!B260</f>
        <v>45689</v>
      </c>
      <c r="C261" s="5" t="str">
        <f>'2_Cleaned_Data'!D260</f>
        <v>Mall</v>
      </c>
      <c r="D261" s="6">
        <f>IF('2_Cleaned_Data'!D260="Airport",1,0)</f>
        <v>0</v>
      </c>
      <c r="E261" s="6">
        <f>IF('2_Cleaned_Data'!D260="High Street",1,0)</f>
        <v>0</v>
      </c>
      <c r="F261" s="6">
        <f>IF('2_Cleaned_Data'!D260="Mall",1,0)</f>
        <v>1</v>
      </c>
    </row>
    <row r="262" spans="1:6" x14ac:dyDescent="0.45">
      <c r="A262" s="5" t="str">
        <f>'2_Cleaned_Data'!A261</f>
        <v>STR-1068</v>
      </c>
      <c r="B262" s="18">
        <f>'2_Cleaned_Data'!B261</f>
        <v>45717</v>
      </c>
      <c r="C262" s="5" t="str">
        <f>'2_Cleaned_Data'!D261</f>
        <v>Mall</v>
      </c>
      <c r="D262" s="6">
        <f>IF('2_Cleaned_Data'!D261="Airport",1,0)</f>
        <v>0</v>
      </c>
      <c r="E262" s="6">
        <f>IF('2_Cleaned_Data'!D261="High Street",1,0)</f>
        <v>0</v>
      </c>
      <c r="F262" s="6">
        <f>IF('2_Cleaned_Data'!D261="Mall",1,0)</f>
        <v>1</v>
      </c>
    </row>
    <row r="263" spans="1:6" x14ac:dyDescent="0.45">
      <c r="A263" s="5" t="str">
        <f>'2_Cleaned_Data'!A262</f>
        <v>STR-1068</v>
      </c>
      <c r="B263" s="18">
        <f>'2_Cleaned_Data'!B262</f>
        <v>45748</v>
      </c>
      <c r="C263" s="5" t="str">
        <f>'2_Cleaned_Data'!D262</f>
        <v>Mall</v>
      </c>
      <c r="D263" s="6">
        <f>IF('2_Cleaned_Data'!D262="Airport",1,0)</f>
        <v>0</v>
      </c>
      <c r="E263" s="6">
        <f>IF('2_Cleaned_Data'!D262="High Street",1,0)</f>
        <v>0</v>
      </c>
      <c r="F263" s="6">
        <f>IF('2_Cleaned_Data'!D262="Mall",1,0)</f>
        <v>1</v>
      </c>
    </row>
    <row r="264" spans="1:6" x14ac:dyDescent="0.45">
      <c r="A264" s="5" t="str">
        <f>'2_Cleaned_Data'!A263</f>
        <v>STR-1069</v>
      </c>
      <c r="B264" s="18">
        <f>'2_Cleaned_Data'!B263</f>
        <v>45658</v>
      </c>
      <c r="C264" s="5" t="str">
        <f>'2_Cleaned_Data'!D263</f>
        <v>High Street</v>
      </c>
      <c r="D264" s="6">
        <f>IF('2_Cleaned_Data'!D263="Airport",1,0)</f>
        <v>0</v>
      </c>
      <c r="E264" s="6">
        <f>IF('2_Cleaned_Data'!D263="High Street",1,0)</f>
        <v>1</v>
      </c>
      <c r="F264" s="6">
        <f>IF('2_Cleaned_Data'!D263="Mall",1,0)</f>
        <v>0</v>
      </c>
    </row>
    <row r="265" spans="1:6" x14ac:dyDescent="0.45">
      <c r="A265" s="5" t="str">
        <f>'2_Cleaned_Data'!A264</f>
        <v>STR-1069</v>
      </c>
      <c r="B265" s="18">
        <f>'2_Cleaned_Data'!B264</f>
        <v>45689</v>
      </c>
      <c r="C265" s="5" t="str">
        <f>'2_Cleaned_Data'!D264</f>
        <v>High Street</v>
      </c>
      <c r="D265" s="6">
        <f>IF('2_Cleaned_Data'!D264="Airport",1,0)</f>
        <v>0</v>
      </c>
      <c r="E265" s="6">
        <f>IF('2_Cleaned_Data'!D264="High Street",1,0)</f>
        <v>1</v>
      </c>
      <c r="F265" s="6">
        <f>IF('2_Cleaned_Data'!D264="Mall",1,0)</f>
        <v>0</v>
      </c>
    </row>
    <row r="266" spans="1:6" x14ac:dyDescent="0.45">
      <c r="A266" s="5" t="str">
        <f>'2_Cleaned_Data'!A265</f>
        <v>STR-1069</v>
      </c>
      <c r="B266" s="18">
        <f>'2_Cleaned_Data'!B265</f>
        <v>45717</v>
      </c>
      <c r="C266" s="5" t="str">
        <f>'2_Cleaned_Data'!D265</f>
        <v>High Street</v>
      </c>
      <c r="D266" s="6">
        <f>IF('2_Cleaned_Data'!D265="Airport",1,0)</f>
        <v>0</v>
      </c>
      <c r="E266" s="6">
        <f>IF('2_Cleaned_Data'!D265="High Street",1,0)</f>
        <v>1</v>
      </c>
      <c r="F266" s="6">
        <f>IF('2_Cleaned_Data'!D265="Mall",1,0)</f>
        <v>0</v>
      </c>
    </row>
    <row r="267" spans="1:6" x14ac:dyDescent="0.45">
      <c r="A267" s="5" t="str">
        <f>'2_Cleaned_Data'!A266</f>
        <v>STR-1069</v>
      </c>
      <c r="B267" s="18">
        <f>'2_Cleaned_Data'!B266</f>
        <v>45748</v>
      </c>
      <c r="C267" s="5" t="str">
        <f>'2_Cleaned_Data'!D266</f>
        <v>High Street</v>
      </c>
      <c r="D267" s="6">
        <f>IF('2_Cleaned_Data'!D266="Airport",1,0)</f>
        <v>0</v>
      </c>
      <c r="E267" s="6">
        <f>IF('2_Cleaned_Data'!D266="High Street",1,0)</f>
        <v>1</v>
      </c>
      <c r="F267" s="6">
        <f>IF('2_Cleaned_Data'!D266="Mall",1,0)</f>
        <v>0</v>
      </c>
    </row>
    <row r="268" spans="1:6" x14ac:dyDescent="0.45">
      <c r="A268" s="5" t="str">
        <f>'2_Cleaned_Data'!A267</f>
        <v>STR-1070</v>
      </c>
      <c r="B268" s="18">
        <f>'2_Cleaned_Data'!B267</f>
        <v>45658</v>
      </c>
      <c r="C268" s="5" t="str">
        <f>'2_Cleaned_Data'!D267</f>
        <v>Residential</v>
      </c>
      <c r="D268" s="6">
        <f>IF('2_Cleaned_Data'!D267="Airport",1,0)</f>
        <v>0</v>
      </c>
      <c r="E268" s="6">
        <f>IF('2_Cleaned_Data'!D267="High Street",1,0)</f>
        <v>0</v>
      </c>
      <c r="F268" s="6">
        <f>IF('2_Cleaned_Data'!D267="Mall",1,0)</f>
        <v>0</v>
      </c>
    </row>
    <row r="269" spans="1:6" x14ac:dyDescent="0.45">
      <c r="A269" s="5" t="str">
        <f>'2_Cleaned_Data'!A268</f>
        <v>STR-1070</v>
      </c>
      <c r="B269" s="18">
        <f>'2_Cleaned_Data'!B268</f>
        <v>45689</v>
      </c>
      <c r="C269" s="5" t="str">
        <f>'2_Cleaned_Data'!D268</f>
        <v>Residential</v>
      </c>
      <c r="D269" s="6">
        <f>IF('2_Cleaned_Data'!D268="Airport",1,0)</f>
        <v>0</v>
      </c>
      <c r="E269" s="6">
        <f>IF('2_Cleaned_Data'!D268="High Street",1,0)</f>
        <v>0</v>
      </c>
      <c r="F269" s="6">
        <f>IF('2_Cleaned_Data'!D268="Mall",1,0)</f>
        <v>0</v>
      </c>
    </row>
    <row r="270" spans="1:6" x14ac:dyDescent="0.45">
      <c r="A270" s="5" t="str">
        <f>'2_Cleaned_Data'!A269</f>
        <v>STR-1070</v>
      </c>
      <c r="B270" s="18">
        <f>'2_Cleaned_Data'!B269</f>
        <v>45717</v>
      </c>
      <c r="C270" s="5" t="str">
        <f>'2_Cleaned_Data'!D269</f>
        <v>Residential</v>
      </c>
      <c r="D270" s="6">
        <f>IF('2_Cleaned_Data'!D269="Airport",1,0)</f>
        <v>0</v>
      </c>
      <c r="E270" s="6">
        <f>IF('2_Cleaned_Data'!D269="High Street",1,0)</f>
        <v>0</v>
      </c>
      <c r="F270" s="6">
        <f>IF('2_Cleaned_Data'!D269="Mall",1,0)</f>
        <v>0</v>
      </c>
    </row>
    <row r="271" spans="1:6" x14ac:dyDescent="0.45">
      <c r="A271" s="5" t="str">
        <f>'2_Cleaned_Data'!A270</f>
        <v>STR-1070</v>
      </c>
      <c r="B271" s="18">
        <f>'2_Cleaned_Data'!B270</f>
        <v>45748</v>
      </c>
      <c r="C271" s="5" t="str">
        <f>'2_Cleaned_Data'!D270</f>
        <v>Residential</v>
      </c>
      <c r="D271" s="6">
        <f>IF('2_Cleaned_Data'!D270="Airport",1,0)</f>
        <v>0</v>
      </c>
      <c r="E271" s="6">
        <f>IF('2_Cleaned_Data'!D270="High Street",1,0)</f>
        <v>0</v>
      </c>
      <c r="F271" s="6">
        <f>IF('2_Cleaned_Data'!D270="Mall",1,0)</f>
        <v>0</v>
      </c>
    </row>
    <row r="272" spans="1:6" x14ac:dyDescent="0.45">
      <c r="A272" s="5" t="str">
        <f>'2_Cleaned_Data'!A271</f>
        <v>STR-1071</v>
      </c>
      <c r="B272" s="18">
        <f>'2_Cleaned_Data'!B271</f>
        <v>45658</v>
      </c>
      <c r="C272" s="5" t="str">
        <f>'2_Cleaned_Data'!D271</f>
        <v>High Street</v>
      </c>
      <c r="D272" s="6">
        <f>IF('2_Cleaned_Data'!D271="Airport",1,0)</f>
        <v>0</v>
      </c>
      <c r="E272" s="6">
        <f>IF('2_Cleaned_Data'!D271="High Street",1,0)</f>
        <v>1</v>
      </c>
      <c r="F272" s="6">
        <f>IF('2_Cleaned_Data'!D271="Mall",1,0)</f>
        <v>0</v>
      </c>
    </row>
    <row r="273" spans="1:6" x14ac:dyDescent="0.45">
      <c r="A273" s="5" t="str">
        <f>'2_Cleaned_Data'!A272</f>
        <v>STR-1071</v>
      </c>
      <c r="B273" s="18">
        <f>'2_Cleaned_Data'!B272</f>
        <v>45689</v>
      </c>
      <c r="C273" s="5" t="str">
        <f>'2_Cleaned_Data'!D272</f>
        <v>High Street</v>
      </c>
      <c r="D273" s="6">
        <f>IF('2_Cleaned_Data'!D272="Airport",1,0)</f>
        <v>0</v>
      </c>
      <c r="E273" s="6">
        <f>IF('2_Cleaned_Data'!D272="High Street",1,0)</f>
        <v>1</v>
      </c>
      <c r="F273" s="6">
        <f>IF('2_Cleaned_Data'!D272="Mall",1,0)</f>
        <v>0</v>
      </c>
    </row>
    <row r="274" spans="1:6" x14ac:dyDescent="0.45">
      <c r="A274" s="5" t="str">
        <f>'2_Cleaned_Data'!A273</f>
        <v>STR-1071</v>
      </c>
      <c r="B274" s="18">
        <f>'2_Cleaned_Data'!B273</f>
        <v>45717</v>
      </c>
      <c r="C274" s="5" t="str">
        <f>'2_Cleaned_Data'!D273</f>
        <v>High Street</v>
      </c>
      <c r="D274" s="6">
        <f>IF('2_Cleaned_Data'!D273="Airport",1,0)</f>
        <v>0</v>
      </c>
      <c r="E274" s="6">
        <f>IF('2_Cleaned_Data'!D273="High Street",1,0)</f>
        <v>1</v>
      </c>
      <c r="F274" s="6">
        <f>IF('2_Cleaned_Data'!D273="Mall",1,0)</f>
        <v>0</v>
      </c>
    </row>
    <row r="275" spans="1:6" x14ac:dyDescent="0.45">
      <c r="A275" s="5" t="str">
        <f>'2_Cleaned_Data'!A274</f>
        <v>STR-1071</v>
      </c>
      <c r="B275" s="18">
        <f>'2_Cleaned_Data'!B274</f>
        <v>45748</v>
      </c>
      <c r="C275" s="5" t="str">
        <f>'2_Cleaned_Data'!D274</f>
        <v>High Street</v>
      </c>
      <c r="D275" s="6">
        <f>IF('2_Cleaned_Data'!D274="Airport",1,0)</f>
        <v>0</v>
      </c>
      <c r="E275" s="6">
        <f>IF('2_Cleaned_Data'!D274="High Street",1,0)</f>
        <v>1</v>
      </c>
      <c r="F275" s="6">
        <f>IF('2_Cleaned_Data'!D274="Mall",1,0)</f>
        <v>0</v>
      </c>
    </row>
    <row r="276" spans="1:6" x14ac:dyDescent="0.45">
      <c r="A276" s="5" t="str">
        <f>'2_Cleaned_Data'!A275</f>
        <v>STR-1072</v>
      </c>
      <c r="B276" s="18">
        <f>'2_Cleaned_Data'!B275</f>
        <v>45658</v>
      </c>
      <c r="C276" s="5" t="str">
        <f>'2_Cleaned_Data'!D275</f>
        <v>Residential</v>
      </c>
      <c r="D276" s="6">
        <f>IF('2_Cleaned_Data'!D275="Airport",1,0)</f>
        <v>0</v>
      </c>
      <c r="E276" s="6">
        <f>IF('2_Cleaned_Data'!D275="High Street",1,0)</f>
        <v>0</v>
      </c>
      <c r="F276" s="6">
        <f>IF('2_Cleaned_Data'!D275="Mall",1,0)</f>
        <v>0</v>
      </c>
    </row>
    <row r="277" spans="1:6" x14ac:dyDescent="0.45">
      <c r="A277" s="5" t="str">
        <f>'2_Cleaned_Data'!A276</f>
        <v>STR-1072</v>
      </c>
      <c r="B277" s="18">
        <f>'2_Cleaned_Data'!B276</f>
        <v>45689</v>
      </c>
      <c r="C277" s="5" t="str">
        <f>'2_Cleaned_Data'!D276</f>
        <v>Residential</v>
      </c>
      <c r="D277" s="6">
        <f>IF('2_Cleaned_Data'!D276="Airport",1,0)</f>
        <v>0</v>
      </c>
      <c r="E277" s="6">
        <f>IF('2_Cleaned_Data'!D276="High Street",1,0)</f>
        <v>0</v>
      </c>
      <c r="F277" s="6">
        <f>IF('2_Cleaned_Data'!D276="Mall",1,0)</f>
        <v>0</v>
      </c>
    </row>
    <row r="278" spans="1:6" x14ac:dyDescent="0.45">
      <c r="A278" s="5" t="str">
        <f>'2_Cleaned_Data'!A277</f>
        <v>STR-1072</v>
      </c>
      <c r="B278" s="18">
        <f>'2_Cleaned_Data'!B277</f>
        <v>45717</v>
      </c>
      <c r="C278" s="5" t="str">
        <f>'2_Cleaned_Data'!D277</f>
        <v>Residential</v>
      </c>
      <c r="D278" s="6">
        <f>IF('2_Cleaned_Data'!D277="Airport",1,0)</f>
        <v>0</v>
      </c>
      <c r="E278" s="6">
        <f>IF('2_Cleaned_Data'!D277="High Street",1,0)</f>
        <v>0</v>
      </c>
      <c r="F278" s="6">
        <f>IF('2_Cleaned_Data'!D277="Mall",1,0)</f>
        <v>0</v>
      </c>
    </row>
    <row r="279" spans="1:6" x14ac:dyDescent="0.45">
      <c r="A279" s="5" t="str">
        <f>'2_Cleaned_Data'!A278</f>
        <v>STR-1072</v>
      </c>
      <c r="B279" s="18">
        <f>'2_Cleaned_Data'!B278</f>
        <v>45748</v>
      </c>
      <c r="C279" s="5" t="str">
        <f>'2_Cleaned_Data'!D278</f>
        <v>Residential</v>
      </c>
      <c r="D279" s="6">
        <f>IF('2_Cleaned_Data'!D278="Airport",1,0)</f>
        <v>0</v>
      </c>
      <c r="E279" s="6">
        <f>IF('2_Cleaned_Data'!D278="High Street",1,0)</f>
        <v>0</v>
      </c>
      <c r="F279" s="6">
        <f>IF('2_Cleaned_Data'!D278="Mall",1,0)</f>
        <v>0</v>
      </c>
    </row>
    <row r="280" spans="1:6" x14ac:dyDescent="0.45">
      <c r="A280" s="5" t="str">
        <f>'2_Cleaned_Data'!A279</f>
        <v>STR-1073</v>
      </c>
      <c r="B280" s="18">
        <f>'2_Cleaned_Data'!B279</f>
        <v>45658</v>
      </c>
      <c r="C280" s="5" t="str">
        <f>'2_Cleaned_Data'!D279</f>
        <v>Residential</v>
      </c>
      <c r="D280" s="6">
        <f>IF('2_Cleaned_Data'!D279="Airport",1,0)</f>
        <v>0</v>
      </c>
      <c r="E280" s="6">
        <f>IF('2_Cleaned_Data'!D279="High Street",1,0)</f>
        <v>0</v>
      </c>
      <c r="F280" s="6">
        <f>IF('2_Cleaned_Data'!D279="Mall",1,0)</f>
        <v>0</v>
      </c>
    </row>
    <row r="281" spans="1:6" x14ac:dyDescent="0.45">
      <c r="A281" s="5" t="str">
        <f>'2_Cleaned_Data'!A280</f>
        <v>STR-1073</v>
      </c>
      <c r="B281" s="18">
        <f>'2_Cleaned_Data'!B280</f>
        <v>45689</v>
      </c>
      <c r="C281" s="5" t="str">
        <f>'2_Cleaned_Data'!D280</f>
        <v>Residential</v>
      </c>
      <c r="D281" s="6">
        <f>IF('2_Cleaned_Data'!D280="Airport",1,0)</f>
        <v>0</v>
      </c>
      <c r="E281" s="6">
        <f>IF('2_Cleaned_Data'!D280="High Street",1,0)</f>
        <v>0</v>
      </c>
      <c r="F281" s="6">
        <f>IF('2_Cleaned_Data'!D280="Mall",1,0)</f>
        <v>0</v>
      </c>
    </row>
    <row r="282" spans="1:6" x14ac:dyDescent="0.45">
      <c r="A282" s="5" t="str">
        <f>'2_Cleaned_Data'!A281</f>
        <v>STR-1073</v>
      </c>
      <c r="B282" s="18">
        <f>'2_Cleaned_Data'!B281</f>
        <v>45717</v>
      </c>
      <c r="C282" s="5" t="str">
        <f>'2_Cleaned_Data'!D281</f>
        <v>Residential</v>
      </c>
      <c r="D282" s="6">
        <f>IF('2_Cleaned_Data'!D281="Airport",1,0)</f>
        <v>0</v>
      </c>
      <c r="E282" s="6">
        <f>IF('2_Cleaned_Data'!D281="High Street",1,0)</f>
        <v>0</v>
      </c>
      <c r="F282" s="6">
        <f>IF('2_Cleaned_Data'!D281="Mall",1,0)</f>
        <v>0</v>
      </c>
    </row>
    <row r="283" spans="1:6" x14ac:dyDescent="0.45">
      <c r="A283" s="5" t="str">
        <f>'2_Cleaned_Data'!A282</f>
        <v>STR-1073</v>
      </c>
      <c r="B283" s="18">
        <f>'2_Cleaned_Data'!B282</f>
        <v>45748</v>
      </c>
      <c r="C283" s="5" t="str">
        <f>'2_Cleaned_Data'!D282</f>
        <v>Residential</v>
      </c>
      <c r="D283" s="6">
        <f>IF('2_Cleaned_Data'!D282="Airport",1,0)</f>
        <v>0</v>
      </c>
      <c r="E283" s="6">
        <f>IF('2_Cleaned_Data'!D282="High Street",1,0)</f>
        <v>0</v>
      </c>
      <c r="F283" s="6">
        <f>IF('2_Cleaned_Data'!D282="Mall",1,0)</f>
        <v>0</v>
      </c>
    </row>
    <row r="284" spans="1:6" x14ac:dyDescent="0.45">
      <c r="A284" s="5" t="str">
        <f>'2_Cleaned_Data'!A283</f>
        <v>STR-1074</v>
      </c>
      <c r="B284" s="18">
        <f>'2_Cleaned_Data'!B283</f>
        <v>45658</v>
      </c>
      <c r="C284" s="5" t="str">
        <f>'2_Cleaned_Data'!D283</f>
        <v>High Street</v>
      </c>
      <c r="D284" s="6">
        <f>IF('2_Cleaned_Data'!D283="Airport",1,0)</f>
        <v>0</v>
      </c>
      <c r="E284" s="6">
        <f>IF('2_Cleaned_Data'!D283="High Street",1,0)</f>
        <v>1</v>
      </c>
      <c r="F284" s="6">
        <f>IF('2_Cleaned_Data'!D283="Mall",1,0)</f>
        <v>0</v>
      </c>
    </row>
    <row r="285" spans="1:6" x14ac:dyDescent="0.45">
      <c r="A285" s="5" t="str">
        <f>'2_Cleaned_Data'!A284</f>
        <v>STR-1074</v>
      </c>
      <c r="B285" s="18">
        <f>'2_Cleaned_Data'!B284</f>
        <v>45689</v>
      </c>
      <c r="C285" s="5" t="str">
        <f>'2_Cleaned_Data'!D284</f>
        <v>High Street</v>
      </c>
      <c r="D285" s="6">
        <f>IF('2_Cleaned_Data'!D284="Airport",1,0)</f>
        <v>0</v>
      </c>
      <c r="E285" s="6">
        <f>IF('2_Cleaned_Data'!D284="High Street",1,0)</f>
        <v>1</v>
      </c>
      <c r="F285" s="6">
        <f>IF('2_Cleaned_Data'!D284="Mall",1,0)</f>
        <v>0</v>
      </c>
    </row>
    <row r="286" spans="1:6" x14ac:dyDescent="0.45">
      <c r="A286" s="5" t="str">
        <f>'2_Cleaned_Data'!A285</f>
        <v>STR-1074</v>
      </c>
      <c r="B286" s="18">
        <f>'2_Cleaned_Data'!B285</f>
        <v>45717</v>
      </c>
      <c r="C286" s="5" t="str">
        <f>'2_Cleaned_Data'!D285</f>
        <v>High Street</v>
      </c>
      <c r="D286" s="6">
        <f>IF('2_Cleaned_Data'!D285="Airport",1,0)</f>
        <v>0</v>
      </c>
      <c r="E286" s="6">
        <f>IF('2_Cleaned_Data'!D285="High Street",1,0)</f>
        <v>1</v>
      </c>
      <c r="F286" s="6">
        <f>IF('2_Cleaned_Data'!D285="Mall",1,0)</f>
        <v>0</v>
      </c>
    </row>
    <row r="287" spans="1:6" x14ac:dyDescent="0.45">
      <c r="A287" s="5" t="str">
        <f>'2_Cleaned_Data'!A286</f>
        <v>STR-1074</v>
      </c>
      <c r="B287" s="18">
        <f>'2_Cleaned_Data'!B286</f>
        <v>45748</v>
      </c>
      <c r="C287" s="5" t="str">
        <f>'2_Cleaned_Data'!D286</f>
        <v>High Street</v>
      </c>
      <c r="D287" s="6">
        <f>IF('2_Cleaned_Data'!D286="Airport",1,0)</f>
        <v>0</v>
      </c>
      <c r="E287" s="6">
        <f>IF('2_Cleaned_Data'!D286="High Street",1,0)</f>
        <v>1</v>
      </c>
      <c r="F287" s="6">
        <f>IF('2_Cleaned_Data'!D286="Mall",1,0)</f>
        <v>0</v>
      </c>
    </row>
    <row r="288" spans="1:6" x14ac:dyDescent="0.45">
      <c r="A288" s="5" t="str">
        <f>'2_Cleaned_Data'!A287</f>
        <v>STR-1075</v>
      </c>
      <c r="B288" s="18">
        <f>'2_Cleaned_Data'!B287</f>
        <v>45658</v>
      </c>
      <c r="C288" s="5" t="str">
        <f>'2_Cleaned_Data'!D287</f>
        <v>High Street</v>
      </c>
      <c r="D288" s="6">
        <f>IF('2_Cleaned_Data'!D287="Airport",1,0)</f>
        <v>0</v>
      </c>
      <c r="E288" s="6">
        <f>IF('2_Cleaned_Data'!D287="High Street",1,0)</f>
        <v>1</v>
      </c>
      <c r="F288" s="6">
        <f>IF('2_Cleaned_Data'!D287="Mall",1,0)</f>
        <v>0</v>
      </c>
    </row>
    <row r="289" spans="1:6" x14ac:dyDescent="0.45">
      <c r="A289" s="5" t="str">
        <f>'2_Cleaned_Data'!A288</f>
        <v>STR-1075</v>
      </c>
      <c r="B289" s="18">
        <f>'2_Cleaned_Data'!B288</f>
        <v>45689</v>
      </c>
      <c r="C289" s="5" t="str">
        <f>'2_Cleaned_Data'!D288</f>
        <v>High Street</v>
      </c>
      <c r="D289" s="6">
        <f>IF('2_Cleaned_Data'!D288="Airport",1,0)</f>
        <v>0</v>
      </c>
      <c r="E289" s="6">
        <f>IF('2_Cleaned_Data'!D288="High Street",1,0)</f>
        <v>1</v>
      </c>
      <c r="F289" s="6">
        <f>IF('2_Cleaned_Data'!D288="Mall",1,0)</f>
        <v>0</v>
      </c>
    </row>
    <row r="290" spans="1:6" x14ac:dyDescent="0.45">
      <c r="A290" s="5" t="str">
        <f>'2_Cleaned_Data'!A289</f>
        <v>STR-1075</v>
      </c>
      <c r="B290" s="18">
        <f>'2_Cleaned_Data'!B289</f>
        <v>45717</v>
      </c>
      <c r="C290" s="5" t="str">
        <f>'2_Cleaned_Data'!D289</f>
        <v>High Street</v>
      </c>
      <c r="D290" s="6">
        <f>IF('2_Cleaned_Data'!D289="Airport",1,0)</f>
        <v>0</v>
      </c>
      <c r="E290" s="6">
        <f>IF('2_Cleaned_Data'!D289="High Street",1,0)</f>
        <v>1</v>
      </c>
      <c r="F290" s="6">
        <f>IF('2_Cleaned_Data'!D289="Mall",1,0)</f>
        <v>0</v>
      </c>
    </row>
    <row r="291" spans="1:6" x14ac:dyDescent="0.45">
      <c r="A291" s="5" t="str">
        <f>'2_Cleaned_Data'!A290</f>
        <v>STR-1075</v>
      </c>
      <c r="B291" s="18">
        <f>'2_Cleaned_Data'!B290</f>
        <v>45748</v>
      </c>
      <c r="C291" s="5" t="str">
        <f>'2_Cleaned_Data'!D290</f>
        <v>High Street</v>
      </c>
      <c r="D291" s="6">
        <f>IF('2_Cleaned_Data'!D290="Airport",1,0)</f>
        <v>0</v>
      </c>
      <c r="E291" s="6">
        <f>IF('2_Cleaned_Data'!D290="High Street",1,0)</f>
        <v>1</v>
      </c>
      <c r="F291" s="6">
        <f>IF('2_Cleaned_Data'!D290="Mall",1,0)</f>
        <v>0</v>
      </c>
    </row>
    <row r="292" spans="1:6" x14ac:dyDescent="0.45">
      <c r="A292" s="5" t="str">
        <f>'2_Cleaned_Data'!A291</f>
        <v>STR-1076</v>
      </c>
      <c r="B292" s="18">
        <f>'2_Cleaned_Data'!B291</f>
        <v>45658</v>
      </c>
      <c r="C292" s="5" t="str">
        <f>'2_Cleaned_Data'!D291</f>
        <v>Mall</v>
      </c>
      <c r="D292" s="6">
        <f>IF('2_Cleaned_Data'!D291="Airport",1,0)</f>
        <v>0</v>
      </c>
      <c r="E292" s="6">
        <f>IF('2_Cleaned_Data'!D291="High Street",1,0)</f>
        <v>0</v>
      </c>
      <c r="F292" s="6">
        <f>IF('2_Cleaned_Data'!D291="Mall",1,0)</f>
        <v>1</v>
      </c>
    </row>
    <row r="293" spans="1:6" x14ac:dyDescent="0.45">
      <c r="A293" s="5" t="str">
        <f>'2_Cleaned_Data'!A292</f>
        <v>STR-1076</v>
      </c>
      <c r="B293" s="18">
        <f>'2_Cleaned_Data'!B292</f>
        <v>45689</v>
      </c>
      <c r="C293" s="5" t="str">
        <f>'2_Cleaned_Data'!D292</f>
        <v>Mall</v>
      </c>
      <c r="D293" s="6">
        <f>IF('2_Cleaned_Data'!D292="Airport",1,0)</f>
        <v>0</v>
      </c>
      <c r="E293" s="6">
        <f>IF('2_Cleaned_Data'!D292="High Street",1,0)</f>
        <v>0</v>
      </c>
      <c r="F293" s="6">
        <f>IF('2_Cleaned_Data'!D292="Mall",1,0)</f>
        <v>1</v>
      </c>
    </row>
    <row r="294" spans="1:6" x14ac:dyDescent="0.45">
      <c r="A294" s="5" t="str">
        <f>'2_Cleaned_Data'!A293</f>
        <v>STR-1076</v>
      </c>
      <c r="B294" s="18">
        <f>'2_Cleaned_Data'!B293</f>
        <v>45717</v>
      </c>
      <c r="C294" s="5" t="str">
        <f>'2_Cleaned_Data'!D293</f>
        <v>Mall</v>
      </c>
      <c r="D294" s="6">
        <f>IF('2_Cleaned_Data'!D293="Airport",1,0)</f>
        <v>0</v>
      </c>
      <c r="E294" s="6">
        <f>IF('2_Cleaned_Data'!D293="High Street",1,0)</f>
        <v>0</v>
      </c>
      <c r="F294" s="6">
        <f>IF('2_Cleaned_Data'!D293="Mall",1,0)</f>
        <v>1</v>
      </c>
    </row>
    <row r="295" spans="1:6" x14ac:dyDescent="0.45">
      <c r="A295" s="5" t="str">
        <f>'2_Cleaned_Data'!A294</f>
        <v>STR-1076</v>
      </c>
      <c r="B295" s="18">
        <f>'2_Cleaned_Data'!B294</f>
        <v>45748</v>
      </c>
      <c r="C295" s="5" t="str">
        <f>'2_Cleaned_Data'!D294</f>
        <v>Mall</v>
      </c>
      <c r="D295" s="6">
        <f>IF('2_Cleaned_Data'!D294="Airport",1,0)</f>
        <v>0</v>
      </c>
      <c r="E295" s="6">
        <f>IF('2_Cleaned_Data'!D294="High Street",1,0)</f>
        <v>0</v>
      </c>
      <c r="F295" s="6">
        <f>IF('2_Cleaned_Data'!D294="Mall",1,0)</f>
        <v>1</v>
      </c>
    </row>
    <row r="296" spans="1:6" x14ac:dyDescent="0.45">
      <c r="A296" s="5" t="str">
        <f>'2_Cleaned_Data'!A295</f>
        <v>STR-1077</v>
      </c>
      <c r="B296" s="18">
        <f>'2_Cleaned_Data'!B295</f>
        <v>45658</v>
      </c>
      <c r="C296" s="5" t="str">
        <f>'2_Cleaned_Data'!D295</f>
        <v>Residential</v>
      </c>
      <c r="D296" s="6">
        <f>IF('2_Cleaned_Data'!D295="Airport",1,0)</f>
        <v>0</v>
      </c>
      <c r="E296" s="6">
        <f>IF('2_Cleaned_Data'!D295="High Street",1,0)</f>
        <v>0</v>
      </c>
      <c r="F296" s="6">
        <f>IF('2_Cleaned_Data'!D295="Mall",1,0)</f>
        <v>0</v>
      </c>
    </row>
    <row r="297" spans="1:6" x14ac:dyDescent="0.45">
      <c r="A297" s="5" t="str">
        <f>'2_Cleaned_Data'!A296</f>
        <v>STR-1077</v>
      </c>
      <c r="B297" s="18">
        <f>'2_Cleaned_Data'!B296</f>
        <v>45689</v>
      </c>
      <c r="C297" s="5" t="str">
        <f>'2_Cleaned_Data'!D296</f>
        <v>Residential</v>
      </c>
      <c r="D297" s="6">
        <f>IF('2_Cleaned_Data'!D296="Airport",1,0)</f>
        <v>0</v>
      </c>
      <c r="E297" s="6">
        <f>IF('2_Cleaned_Data'!D296="High Street",1,0)</f>
        <v>0</v>
      </c>
      <c r="F297" s="6">
        <f>IF('2_Cleaned_Data'!D296="Mall",1,0)</f>
        <v>0</v>
      </c>
    </row>
    <row r="298" spans="1:6" x14ac:dyDescent="0.45">
      <c r="A298" s="5" t="str">
        <f>'2_Cleaned_Data'!A297</f>
        <v>STR-1077</v>
      </c>
      <c r="B298" s="18">
        <f>'2_Cleaned_Data'!B297</f>
        <v>45717</v>
      </c>
      <c r="C298" s="5" t="str">
        <f>'2_Cleaned_Data'!D297</f>
        <v>Residential</v>
      </c>
      <c r="D298" s="6">
        <f>IF('2_Cleaned_Data'!D297="Airport",1,0)</f>
        <v>0</v>
      </c>
      <c r="E298" s="6">
        <f>IF('2_Cleaned_Data'!D297="High Street",1,0)</f>
        <v>0</v>
      </c>
      <c r="F298" s="6">
        <f>IF('2_Cleaned_Data'!D297="Mall",1,0)</f>
        <v>0</v>
      </c>
    </row>
    <row r="299" spans="1:6" x14ac:dyDescent="0.45">
      <c r="A299" s="5" t="str">
        <f>'2_Cleaned_Data'!A298</f>
        <v>STR-1077</v>
      </c>
      <c r="B299" s="18">
        <f>'2_Cleaned_Data'!B298</f>
        <v>45748</v>
      </c>
      <c r="C299" s="5" t="str">
        <f>'2_Cleaned_Data'!D298</f>
        <v>Residential</v>
      </c>
      <c r="D299" s="6">
        <f>IF('2_Cleaned_Data'!D298="Airport",1,0)</f>
        <v>0</v>
      </c>
      <c r="E299" s="6">
        <f>IF('2_Cleaned_Data'!D298="High Street",1,0)</f>
        <v>0</v>
      </c>
      <c r="F299" s="6">
        <f>IF('2_Cleaned_Data'!D298="Mall",1,0)</f>
        <v>0</v>
      </c>
    </row>
    <row r="300" spans="1:6" x14ac:dyDescent="0.45">
      <c r="A300" s="5" t="str">
        <f>'2_Cleaned_Data'!A299</f>
        <v>STR-1078</v>
      </c>
      <c r="B300" s="18">
        <f>'2_Cleaned_Data'!B299</f>
        <v>45658</v>
      </c>
      <c r="C300" s="5" t="str">
        <f>'2_Cleaned_Data'!D299</f>
        <v>High Street</v>
      </c>
      <c r="D300" s="6">
        <f>IF('2_Cleaned_Data'!D299="Airport",1,0)</f>
        <v>0</v>
      </c>
      <c r="E300" s="6">
        <f>IF('2_Cleaned_Data'!D299="High Street",1,0)</f>
        <v>1</v>
      </c>
      <c r="F300" s="6">
        <f>IF('2_Cleaned_Data'!D299="Mall",1,0)</f>
        <v>0</v>
      </c>
    </row>
    <row r="301" spans="1:6" x14ac:dyDescent="0.45">
      <c r="A301" s="5" t="str">
        <f>'2_Cleaned_Data'!A300</f>
        <v>STR-1078</v>
      </c>
      <c r="B301" s="18">
        <f>'2_Cleaned_Data'!B300</f>
        <v>45689</v>
      </c>
      <c r="C301" s="5" t="str">
        <f>'2_Cleaned_Data'!D300</f>
        <v>High Street</v>
      </c>
      <c r="D301" s="6">
        <f>IF('2_Cleaned_Data'!D300="Airport",1,0)</f>
        <v>0</v>
      </c>
      <c r="E301" s="6">
        <f>IF('2_Cleaned_Data'!D300="High Street",1,0)</f>
        <v>1</v>
      </c>
      <c r="F301" s="6">
        <f>IF('2_Cleaned_Data'!D300="Mall",1,0)</f>
        <v>0</v>
      </c>
    </row>
    <row r="302" spans="1:6" x14ac:dyDescent="0.45">
      <c r="A302" s="5" t="str">
        <f>'2_Cleaned_Data'!A301</f>
        <v>STR-1078</v>
      </c>
      <c r="B302" s="18">
        <f>'2_Cleaned_Data'!B301</f>
        <v>45717</v>
      </c>
      <c r="C302" s="5" t="str">
        <f>'2_Cleaned_Data'!D301</f>
        <v>High Street</v>
      </c>
      <c r="D302" s="6">
        <f>IF('2_Cleaned_Data'!D301="Airport",1,0)</f>
        <v>0</v>
      </c>
      <c r="E302" s="6">
        <f>IF('2_Cleaned_Data'!D301="High Street",1,0)</f>
        <v>1</v>
      </c>
      <c r="F302" s="6">
        <f>IF('2_Cleaned_Data'!D301="Mall",1,0)</f>
        <v>0</v>
      </c>
    </row>
    <row r="303" spans="1:6" x14ac:dyDescent="0.45">
      <c r="A303" s="5" t="str">
        <f>'2_Cleaned_Data'!A302</f>
        <v>STR-1079</v>
      </c>
      <c r="B303" s="18">
        <f>'2_Cleaned_Data'!B302</f>
        <v>45658</v>
      </c>
      <c r="C303" s="5" t="str">
        <f>'2_Cleaned_Data'!D302</f>
        <v>Residential</v>
      </c>
      <c r="D303" s="6">
        <f>IF('2_Cleaned_Data'!D302="Airport",1,0)</f>
        <v>0</v>
      </c>
      <c r="E303" s="6">
        <f>IF('2_Cleaned_Data'!D302="High Street",1,0)</f>
        <v>0</v>
      </c>
      <c r="F303" s="6">
        <f>IF('2_Cleaned_Data'!D302="Mall",1,0)</f>
        <v>0</v>
      </c>
    </row>
    <row r="304" spans="1:6" x14ac:dyDescent="0.45">
      <c r="A304" s="5" t="str">
        <f>'2_Cleaned_Data'!A303</f>
        <v>STR-1079</v>
      </c>
      <c r="B304" s="18">
        <f>'2_Cleaned_Data'!B303</f>
        <v>45717</v>
      </c>
      <c r="C304" s="5" t="str">
        <f>'2_Cleaned_Data'!D303</f>
        <v>Residential</v>
      </c>
      <c r="D304" s="6">
        <f>IF('2_Cleaned_Data'!D303="Airport",1,0)</f>
        <v>0</v>
      </c>
      <c r="E304" s="6">
        <f>IF('2_Cleaned_Data'!D303="High Street",1,0)</f>
        <v>0</v>
      </c>
      <c r="F304" s="6">
        <f>IF('2_Cleaned_Data'!D303="Mall",1,0)</f>
        <v>0</v>
      </c>
    </row>
    <row r="305" spans="1:6" x14ac:dyDescent="0.45">
      <c r="A305" s="5" t="str">
        <f>'2_Cleaned_Data'!A304</f>
        <v>STR-1079</v>
      </c>
      <c r="B305" s="18">
        <f>'2_Cleaned_Data'!B304</f>
        <v>45748</v>
      </c>
      <c r="C305" s="5" t="str">
        <f>'2_Cleaned_Data'!D304</f>
        <v>Residential</v>
      </c>
      <c r="D305" s="6">
        <f>IF('2_Cleaned_Data'!D304="Airport",1,0)</f>
        <v>0</v>
      </c>
      <c r="E305" s="6">
        <f>IF('2_Cleaned_Data'!D304="High Street",1,0)</f>
        <v>0</v>
      </c>
      <c r="F305" s="6">
        <f>IF('2_Cleaned_Data'!D304="Mall",1,0)</f>
        <v>0</v>
      </c>
    </row>
    <row r="306" spans="1:6" x14ac:dyDescent="0.45">
      <c r="A306" s="5" t="str">
        <f>'2_Cleaned_Data'!A305</f>
        <v>STR-1080</v>
      </c>
      <c r="B306" s="18">
        <f>'2_Cleaned_Data'!B305</f>
        <v>45658</v>
      </c>
      <c r="C306" s="5" t="str">
        <f>'2_Cleaned_Data'!D305</f>
        <v>Residential</v>
      </c>
      <c r="D306" s="6">
        <f>IF('2_Cleaned_Data'!D305="Airport",1,0)</f>
        <v>0</v>
      </c>
      <c r="E306" s="6">
        <f>IF('2_Cleaned_Data'!D305="High Street",1,0)</f>
        <v>0</v>
      </c>
      <c r="F306" s="6">
        <f>IF('2_Cleaned_Data'!D305="Mall",1,0)</f>
        <v>0</v>
      </c>
    </row>
    <row r="307" spans="1:6" x14ac:dyDescent="0.45">
      <c r="A307" s="5" t="str">
        <f>'2_Cleaned_Data'!A306</f>
        <v>STR-1080</v>
      </c>
      <c r="B307" s="18">
        <f>'2_Cleaned_Data'!B306</f>
        <v>45689</v>
      </c>
      <c r="C307" s="5" t="str">
        <f>'2_Cleaned_Data'!D306</f>
        <v>Residential</v>
      </c>
      <c r="D307" s="6">
        <f>IF('2_Cleaned_Data'!D306="Airport",1,0)</f>
        <v>0</v>
      </c>
      <c r="E307" s="6">
        <f>IF('2_Cleaned_Data'!D306="High Street",1,0)</f>
        <v>0</v>
      </c>
      <c r="F307" s="6">
        <f>IF('2_Cleaned_Data'!D306="Mall",1,0)</f>
        <v>0</v>
      </c>
    </row>
    <row r="308" spans="1:6" x14ac:dyDescent="0.45">
      <c r="A308" s="5" t="str">
        <f>'2_Cleaned_Data'!A307</f>
        <v>STR-1080</v>
      </c>
      <c r="B308" s="18">
        <f>'2_Cleaned_Data'!B307</f>
        <v>45717</v>
      </c>
      <c r="C308" s="5" t="str">
        <f>'2_Cleaned_Data'!D307</f>
        <v>Residential</v>
      </c>
      <c r="D308" s="6">
        <f>IF('2_Cleaned_Data'!D307="Airport",1,0)</f>
        <v>0</v>
      </c>
      <c r="E308" s="6">
        <f>IF('2_Cleaned_Data'!D307="High Street",1,0)</f>
        <v>0</v>
      </c>
      <c r="F308" s="6">
        <f>IF('2_Cleaned_Data'!D307="Mall",1,0)</f>
        <v>0</v>
      </c>
    </row>
    <row r="309" spans="1:6" x14ac:dyDescent="0.45">
      <c r="A309" s="5" t="str">
        <f>'2_Cleaned_Data'!A308</f>
        <v>STR-1080</v>
      </c>
      <c r="B309" s="18">
        <f>'2_Cleaned_Data'!B308</f>
        <v>45748</v>
      </c>
      <c r="C309" s="5" t="str">
        <f>'2_Cleaned_Data'!D308</f>
        <v>Residential</v>
      </c>
      <c r="D309" s="6">
        <f>IF('2_Cleaned_Data'!D308="Airport",1,0)</f>
        <v>0</v>
      </c>
      <c r="E309" s="6">
        <f>IF('2_Cleaned_Data'!D308="High Street",1,0)</f>
        <v>0</v>
      </c>
      <c r="F309" s="6">
        <f>IF('2_Cleaned_Data'!D308="Mall",1,0)</f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opLeftCell="A4" workbookViewId="0">
      <selection activeCell="C35" sqref="C35"/>
    </sheetView>
  </sheetViews>
  <sheetFormatPr defaultRowHeight="14.25" x14ac:dyDescent="0.45"/>
  <cols>
    <col min="1" max="1" width="24" customWidth="1"/>
    <col min="2" max="2" width="50.86328125" bestFit="1" customWidth="1"/>
    <col min="3" max="3" width="65.46484375" bestFit="1" customWidth="1"/>
  </cols>
  <sheetData>
    <row r="1" spans="1:4" ht="15.4" customHeight="1" x14ac:dyDescent="0.45">
      <c r="A1" s="37" t="s">
        <v>147</v>
      </c>
      <c r="B1" s="36"/>
      <c r="C1" s="36"/>
      <c r="D1" s="36"/>
    </row>
    <row r="3" spans="1:4" ht="22.05" customHeight="1" x14ac:dyDescent="0.45">
      <c r="A3" s="38" t="s">
        <v>148</v>
      </c>
      <c r="B3" s="36"/>
      <c r="C3" s="36"/>
      <c r="D3" s="36"/>
    </row>
    <row r="4" spans="1:4" ht="28.05" customHeight="1" x14ac:dyDescent="0.45">
      <c r="A4" s="1" t="s">
        <v>149</v>
      </c>
      <c r="B4" s="1" t="s">
        <v>150</v>
      </c>
      <c r="C4" s="1" t="s">
        <v>151</v>
      </c>
    </row>
    <row r="5" spans="1:4" x14ac:dyDescent="0.45">
      <c r="A5" s="7" t="s">
        <v>152</v>
      </c>
      <c r="B5" s="8">
        <f>INTERCEPT('2_Cleaned_Data'!M3:M308,'2_Cleaned_Data'!E3:E308)</f>
        <v>567463.56033652369</v>
      </c>
      <c r="C5" s="2" t="s">
        <v>202</v>
      </c>
    </row>
    <row r="6" spans="1:4" x14ac:dyDescent="0.45">
      <c r="A6" s="7" t="s">
        <v>153</v>
      </c>
      <c r="B6" s="8">
        <f>SLOPE('2_Cleaned_Data'!M3:M308,'2_Cleaned_Data'!E3:E308)</f>
        <v>2.0519315848668978</v>
      </c>
      <c r="C6" s="2" t="s">
        <v>203</v>
      </c>
    </row>
    <row r="7" spans="1:4" x14ac:dyDescent="0.45">
      <c r="A7" s="7" t="s">
        <v>154</v>
      </c>
      <c r="B7" s="9">
        <f>RSQ('2_Cleaned_Data'!M3:M308,'2_Cleaned_Data'!E3:E308)</f>
        <v>0.15742646124543749</v>
      </c>
      <c r="C7" s="2" t="s">
        <v>206</v>
      </c>
    </row>
    <row r="8" spans="1:4" x14ac:dyDescent="0.45">
      <c r="A8" s="7" t="s">
        <v>15</v>
      </c>
      <c r="B8" s="5">
        <f>COUNT('2_Cleaned_Data'!M3:M308)</f>
        <v>306</v>
      </c>
      <c r="C8" s="2" t="s">
        <v>155</v>
      </c>
    </row>
    <row r="9" spans="1:4" x14ac:dyDescent="0.45">
      <c r="A9" s="7" t="s">
        <v>156</v>
      </c>
      <c r="B9" s="8">
        <f>INDEX(LINEST('2_Cleaned_Data'!M3:M308,'2_Cleaned_Data'!E3:E308,TRUE,TRUE),2,1)</f>
        <v>0.27226456757427608</v>
      </c>
      <c r="C9" s="2" t="s">
        <v>157</v>
      </c>
    </row>
    <row r="10" spans="1:4" x14ac:dyDescent="0.45">
      <c r="A10" s="7" t="s">
        <v>158</v>
      </c>
      <c r="B10" s="5">
        <f>INDEX(LINEST('2_Cleaned_Data'!M3:M308,'2_Cleaned_Data'!E3:E308,TRUE,TRUE),4,2)</f>
        <v>304</v>
      </c>
      <c r="C10" s="2" t="s">
        <v>159</v>
      </c>
    </row>
    <row r="11" spans="1:4" x14ac:dyDescent="0.45">
      <c r="A11" s="7" t="s">
        <v>160</v>
      </c>
      <c r="B11" s="10">
        <f>B6/B9</f>
        <v>7.5365355218582142</v>
      </c>
      <c r="C11" s="2"/>
    </row>
    <row r="12" spans="1:4" x14ac:dyDescent="0.45">
      <c r="A12" s="7" t="s">
        <v>18</v>
      </c>
      <c r="B12" s="19">
        <f>_xlfn.T.DIST.2T(ABS(B11),B10)</f>
        <v>5.5808922954174537E-13</v>
      </c>
      <c r="C12" s="2" t="s">
        <v>161</v>
      </c>
    </row>
    <row r="13" spans="1:4" x14ac:dyDescent="0.45">
      <c r="A13" s="7" t="s">
        <v>162</v>
      </c>
      <c r="B13" s="5" t="s">
        <v>201</v>
      </c>
      <c r="C13" s="2" t="s">
        <v>198</v>
      </c>
    </row>
    <row r="15" spans="1:4" ht="22.05" customHeight="1" x14ac:dyDescent="0.45">
      <c r="A15" s="38" t="s">
        <v>164</v>
      </c>
      <c r="B15" s="36"/>
      <c r="C15" s="36"/>
      <c r="D15" s="36"/>
    </row>
    <row r="16" spans="1:4" ht="28.05" customHeight="1" x14ac:dyDescent="0.45">
      <c r="A16" s="1" t="s">
        <v>149</v>
      </c>
      <c r="B16" s="1" t="s">
        <v>150</v>
      </c>
      <c r="C16" s="1" t="s">
        <v>151</v>
      </c>
    </row>
    <row r="17" spans="1:4" x14ac:dyDescent="0.45">
      <c r="A17" s="7" t="s">
        <v>152</v>
      </c>
      <c r="B17" s="8">
        <f>INTERCEPT('2_Cleaned_Data'!M3:M308,'2_Cleaned_Data'!F3:F308)</f>
        <v>447699.03273727838</v>
      </c>
      <c r="C17" s="2" t="s">
        <v>204</v>
      </c>
    </row>
    <row r="18" spans="1:4" x14ac:dyDescent="0.45">
      <c r="A18" s="7" t="s">
        <v>153</v>
      </c>
      <c r="B18" s="8">
        <f>SLOPE('2_Cleaned_Data'!M3:M308,'2_Cleaned_Data'!F3:F308)</f>
        <v>35.641530919901065</v>
      </c>
      <c r="C18" s="2" t="s">
        <v>205</v>
      </c>
    </row>
    <row r="19" spans="1:4" x14ac:dyDescent="0.45">
      <c r="A19" s="7" t="s">
        <v>154</v>
      </c>
      <c r="B19" s="9">
        <f>RSQ('2_Cleaned_Data'!M3:M308,'2_Cleaned_Data'!F3:F308)</f>
        <v>0.73484316730369037</v>
      </c>
      <c r="C19" s="2" t="s">
        <v>196</v>
      </c>
    </row>
    <row r="20" spans="1:4" x14ac:dyDescent="0.45">
      <c r="A20" s="7" t="s">
        <v>15</v>
      </c>
      <c r="B20" s="5">
        <f>COUNT('2_Cleaned_Data'!M3:M308)</f>
        <v>306</v>
      </c>
      <c r="C20" s="2" t="s">
        <v>155</v>
      </c>
    </row>
    <row r="21" spans="1:4" x14ac:dyDescent="0.45">
      <c r="A21" s="7" t="s">
        <v>156</v>
      </c>
      <c r="B21" s="8">
        <f>INDEX(LINEST('2_Cleaned_Data'!M3:M308,'2_Cleaned_Data'!F3:F308,TRUE,TRUE),2,1)</f>
        <v>1.2279300836673843</v>
      </c>
      <c r="C21" s="2" t="s">
        <v>157</v>
      </c>
    </row>
    <row r="22" spans="1:4" x14ac:dyDescent="0.45">
      <c r="A22" s="7" t="s">
        <v>158</v>
      </c>
      <c r="B22" s="5">
        <f>INDEX(LINEST('2_Cleaned_Data'!M3:M308,'2_Cleaned_Data'!F3:F308,TRUE,TRUE),4,2)</f>
        <v>304</v>
      </c>
      <c r="C22" s="2" t="s">
        <v>159</v>
      </c>
    </row>
    <row r="23" spans="1:4" x14ac:dyDescent="0.45">
      <c r="A23" s="7" t="s">
        <v>160</v>
      </c>
      <c r="B23" s="10">
        <f>B18/B21</f>
        <v>29.025700562244282</v>
      </c>
      <c r="C23" s="2"/>
    </row>
    <row r="24" spans="1:4" x14ac:dyDescent="0.45">
      <c r="A24" s="7" t="s">
        <v>18</v>
      </c>
      <c r="B24" s="19">
        <f>_xlfn.T.DIST.2T(ABS(B23),B22)</f>
        <v>1.2559351457370351E-89</v>
      </c>
      <c r="C24" s="2" t="s">
        <v>161</v>
      </c>
    </row>
    <row r="25" spans="1:4" x14ac:dyDescent="0.45">
      <c r="A25" s="7" t="s">
        <v>162</v>
      </c>
      <c r="B25" s="5" t="s">
        <v>200</v>
      </c>
      <c r="C25" s="2" t="s">
        <v>197</v>
      </c>
    </row>
    <row r="27" spans="1:4" ht="22.05" customHeight="1" x14ac:dyDescent="0.45">
      <c r="A27" s="38" t="s">
        <v>165</v>
      </c>
      <c r="B27" s="36"/>
      <c r="C27" s="36"/>
      <c r="D27" s="36"/>
    </row>
    <row r="28" spans="1:4" ht="28.05" customHeight="1" x14ac:dyDescent="0.45">
      <c r="A28" s="1" t="s">
        <v>149</v>
      </c>
      <c r="B28" s="1" t="s">
        <v>150</v>
      </c>
      <c r="C28" s="1" t="s">
        <v>151</v>
      </c>
    </row>
    <row r="29" spans="1:4" x14ac:dyDescent="0.45">
      <c r="A29" s="7" t="s">
        <v>152</v>
      </c>
      <c r="B29" s="8">
        <f>INTERCEPT('2_Cleaned_Data'!M3:M308,'2_Cleaned_Data'!L3:L308)</f>
        <v>703414.65063269855</v>
      </c>
      <c r="C29" s="2" t="s">
        <v>207</v>
      </c>
    </row>
    <row r="30" spans="1:4" x14ac:dyDescent="0.45">
      <c r="A30" s="7" t="s">
        <v>153</v>
      </c>
      <c r="B30" s="8">
        <f>SLOPE('2_Cleaned_Data'!M3:M308,'2_Cleaned_Data'!L3:L308)</f>
        <v>-5117.9738870801693</v>
      </c>
      <c r="C30" s="2" t="s">
        <v>208</v>
      </c>
    </row>
    <row r="31" spans="1:4" x14ac:dyDescent="0.45">
      <c r="A31" s="7" t="s">
        <v>154</v>
      </c>
      <c r="B31" s="9">
        <f>RSQ('2_Cleaned_Data'!M3:M308,'2_Cleaned_Data'!L3:L308)</f>
        <v>6.9196261025870887E-4</v>
      </c>
      <c r="C31" s="2" t="s">
        <v>209</v>
      </c>
    </row>
    <row r="32" spans="1:4" x14ac:dyDescent="0.45">
      <c r="A32" s="7" t="s">
        <v>15</v>
      </c>
      <c r="B32" s="5">
        <f>COUNT('2_Cleaned_Data'!M3:M308)</f>
        <v>306</v>
      </c>
      <c r="C32" s="2" t="s">
        <v>155</v>
      </c>
    </row>
    <row r="33" spans="1:3" x14ac:dyDescent="0.45">
      <c r="A33" s="7" t="s">
        <v>156</v>
      </c>
      <c r="B33" s="8">
        <f>INDEX(LINEST('2_Cleaned_Data'!M3:M308,'2_Cleaned_Data'!L3:L308,TRUE,TRUE),2,1)</f>
        <v>11155.001935538188</v>
      </c>
      <c r="C33" s="2" t="s">
        <v>157</v>
      </c>
    </row>
    <row r="34" spans="1:3" x14ac:dyDescent="0.45">
      <c r="A34" s="7" t="s">
        <v>158</v>
      </c>
      <c r="B34" s="5">
        <f>INDEX(LINEST('2_Cleaned_Data'!M3:M308,'2_Cleaned_Data'!L3:L308,TRUE,TRUE),4,2)</f>
        <v>304</v>
      </c>
      <c r="C34" s="2" t="s">
        <v>159</v>
      </c>
    </row>
    <row r="35" spans="1:3" x14ac:dyDescent="0.45">
      <c r="A35" s="7" t="s">
        <v>160</v>
      </c>
      <c r="B35" s="10">
        <f>B30/B33</f>
        <v>-0.45880528902241252</v>
      </c>
      <c r="C35" s="2"/>
    </row>
    <row r="36" spans="1:3" x14ac:dyDescent="0.45">
      <c r="A36" s="7" t="s">
        <v>18</v>
      </c>
      <c r="B36" s="11">
        <f>_xlfn.T.DIST.2T(ABS(B35),B34)</f>
        <v>0.64670184746276016</v>
      </c>
      <c r="C36" s="20" t="s">
        <v>210</v>
      </c>
    </row>
    <row r="37" spans="1:3" x14ac:dyDescent="0.45">
      <c r="A37" s="7" t="s">
        <v>162</v>
      </c>
      <c r="B37" s="5" t="s">
        <v>199</v>
      </c>
      <c r="C37" s="2" t="s">
        <v>163</v>
      </c>
    </row>
  </sheetData>
  <mergeCells count="4">
    <mergeCell ref="A1:D1"/>
    <mergeCell ref="A27:D27"/>
    <mergeCell ref="A3:D3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3"/>
  <sheetViews>
    <sheetView zoomScale="90" zoomScaleNormal="90" workbookViewId="0">
      <pane ySplit="3" topLeftCell="A199" activePane="bottomLeft" state="frozen"/>
      <selection pane="bottomLeft" activeCell="F207" sqref="F207"/>
    </sheetView>
  </sheetViews>
  <sheetFormatPr defaultRowHeight="14.25" x14ac:dyDescent="0.45"/>
  <cols>
    <col min="1" max="1" width="22" style="24" customWidth="1"/>
    <col min="2" max="2" width="16.06640625" style="24" customWidth="1"/>
    <col min="3" max="6" width="14" style="24" customWidth="1"/>
    <col min="7" max="7" width="15.53125" style="24" bestFit="1" customWidth="1"/>
    <col min="8" max="8" width="12.33203125" style="24" bestFit="1" customWidth="1"/>
    <col min="9" max="9" width="13" style="24" bestFit="1" customWidth="1"/>
    <col min="10" max="10" width="17.73046875" style="24" bestFit="1" customWidth="1"/>
    <col min="11" max="11" width="60.73046875" style="24" bestFit="1" customWidth="1"/>
    <col min="12" max="12" width="9.06640625" style="24" customWidth="1"/>
    <col min="13" max="16384" width="9.06640625" style="24"/>
  </cols>
  <sheetData>
    <row r="1" spans="1:8" ht="15" customHeight="1" x14ac:dyDescent="0.45">
      <c r="A1" s="46" t="s">
        <v>0</v>
      </c>
      <c r="B1" s="43"/>
      <c r="C1" s="43"/>
      <c r="D1" s="43"/>
      <c r="E1" s="43"/>
      <c r="F1" s="43"/>
      <c r="G1" s="43"/>
      <c r="H1" s="43"/>
    </row>
    <row r="2" spans="1:8" x14ac:dyDescent="0.45">
      <c r="A2" s="42"/>
      <c r="B2" s="43"/>
      <c r="C2" s="43"/>
      <c r="D2" s="43"/>
      <c r="E2" s="43"/>
      <c r="F2" s="43"/>
      <c r="G2" s="43"/>
      <c r="H2" s="43"/>
    </row>
    <row r="3" spans="1:8" ht="35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45">
      <c r="A4" s="25">
        <f>'2_Cleaned_Data'!M3</f>
        <v>658832.62</v>
      </c>
      <c r="B4" s="25">
        <f>'2_Cleaned_Data'!E3</f>
        <v>70389.11</v>
      </c>
      <c r="C4" s="26">
        <f>'2_Cleaned_Data'!F3</f>
        <v>8302</v>
      </c>
      <c r="D4" s="26">
        <f>'2_Cleaned_Data'!G3</f>
        <v>4.2000000000000003E-2</v>
      </c>
      <c r="E4" s="26">
        <f>'2_Cleaned_Data'!I3</f>
        <v>75</v>
      </c>
      <c r="F4" s="26">
        <f>IF('2_Cleaned_Data'!D3="Airport",1,0)</f>
        <v>0</v>
      </c>
      <c r="G4" s="26">
        <f>IF('2_Cleaned_Data'!D3="High Street",1,0)</f>
        <v>0</v>
      </c>
      <c r="H4" s="26">
        <f>IF('2_Cleaned_Data'!D3="Mall",1,0)</f>
        <v>0</v>
      </c>
    </row>
    <row r="5" spans="1:8" x14ac:dyDescent="0.45">
      <c r="A5" s="25">
        <f>'2_Cleaned_Data'!M4</f>
        <v>634436</v>
      </c>
      <c r="B5" s="25">
        <f>'2_Cleaned_Data'!E4</f>
        <v>43827.89</v>
      </c>
      <c r="C5" s="26">
        <f>'2_Cleaned_Data'!F4</f>
        <v>8487</v>
      </c>
      <c r="D5" s="26">
        <f>'2_Cleaned_Data'!G4</f>
        <v>0.16800000000000001</v>
      </c>
      <c r="E5" s="26">
        <f>'2_Cleaned_Data'!I4</f>
        <v>84.4</v>
      </c>
      <c r="F5" s="26">
        <f>IF('2_Cleaned_Data'!D4="Airport",1,0)</f>
        <v>0</v>
      </c>
      <c r="G5" s="26">
        <f>IF('2_Cleaned_Data'!D4="High Street",1,0)</f>
        <v>0</v>
      </c>
      <c r="H5" s="26">
        <f>IF('2_Cleaned_Data'!D4="Mall",1,0)</f>
        <v>0</v>
      </c>
    </row>
    <row r="6" spans="1:8" x14ac:dyDescent="0.45">
      <c r="A6" s="25">
        <f>'2_Cleaned_Data'!M5</f>
        <v>678722.06</v>
      </c>
      <c r="B6" s="25">
        <f>'2_Cleaned_Data'!E5</f>
        <v>59921.75</v>
      </c>
      <c r="C6" s="26">
        <f>'2_Cleaned_Data'!F5</f>
        <v>9113</v>
      </c>
      <c r="D6" s="26">
        <f>'2_Cleaned_Data'!G5</f>
        <v>0.13300000000000001</v>
      </c>
      <c r="E6" s="26">
        <f>'2_Cleaned_Data'!I5</f>
        <v>88</v>
      </c>
      <c r="F6" s="26">
        <f>IF('2_Cleaned_Data'!D5="Airport",1,0)</f>
        <v>0</v>
      </c>
      <c r="G6" s="26">
        <f>IF('2_Cleaned_Data'!D5="High Street",1,0)</f>
        <v>0</v>
      </c>
      <c r="H6" s="26">
        <f>IF('2_Cleaned_Data'!D5="Mall",1,0)</f>
        <v>0</v>
      </c>
    </row>
    <row r="7" spans="1:8" x14ac:dyDescent="0.45">
      <c r="A7" s="25">
        <f>'2_Cleaned_Data'!M6</f>
        <v>658920.30000000005</v>
      </c>
      <c r="B7" s="25">
        <f>'2_Cleaned_Data'!E6</f>
        <v>56856.63</v>
      </c>
      <c r="C7" s="26">
        <f>'2_Cleaned_Data'!F6</f>
        <v>9431</v>
      </c>
      <c r="D7" s="26">
        <f>'2_Cleaned_Data'!G6</f>
        <v>0.14199999999999999</v>
      </c>
      <c r="E7" s="26">
        <f>'2_Cleaned_Data'!I6</f>
        <v>86.9</v>
      </c>
      <c r="F7" s="26">
        <f>IF('2_Cleaned_Data'!D6="Airport",1,0)</f>
        <v>0</v>
      </c>
      <c r="G7" s="26">
        <f>IF('2_Cleaned_Data'!D6="High Street",1,0)</f>
        <v>0</v>
      </c>
      <c r="H7" s="26">
        <f>IF('2_Cleaned_Data'!D6="Mall",1,0)</f>
        <v>0</v>
      </c>
    </row>
    <row r="8" spans="1:8" x14ac:dyDescent="0.45">
      <c r="A8" s="25">
        <f>'2_Cleaned_Data'!M7</f>
        <v>741341.44</v>
      </c>
      <c r="B8" s="25">
        <f>'2_Cleaned_Data'!E7</f>
        <v>48412.639999999999</v>
      </c>
      <c r="C8" s="26">
        <f>'2_Cleaned_Data'!F7</f>
        <v>9545</v>
      </c>
      <c r="D8" s="26">
        <f>'2_Cleaned_Data'!G7</f>
        <v>0.23100000000000001</v>
      </c>
      <c r="E8" s="26">
        <f>'2_Cleaned_Data'!I7</f>
        <v>97.6</v>
      </c>
      <c r="F8" s="26">
        <f>IF('2_Cleaned_Data'!D7="Airport",1,0)</f>
        <v>0</v>
      </c>
      <c r="G8" s="26">
        <f>IF('2_Cleaned_Data'!D7="High Street",1,0)</f>
        <v>1</v>
      </c>
      <c r="H8" s="26">
        <f>IF('2_Cleaned_Data'!D7="Mall",1,0)</f>
        <v>0</v>
      </c>
    </row>
    <row r="9" spans="1:8" x14ac:dyDescent="0.45">
      <c r="A9" s="25">
        <f>'2_Cleaned_Data'!M8</f>
        <v>761835.34</v>
      </c>
      <c r="B9" s="25">
        <f>'2_Cleaned_Data'!E8</f>
        <v>64811.21</v>
      </c>
      <c r="C9" s="26">
        <f>'2_Cleaned_Data'!F8</f>
        <v>9792</v>
      </c>
      <c r="D9" s="26">
        <f>'2_Cleaned_Data'!G8</f>
        <v>0.112</v>
      </c>
      <c r="E9" s="26">
        <f>'2_Cleaned_Data'!I8</f>
        <v>84.2</v>
      </c>
      <c r="F9" s="26">
        <f>IF('2_Cleaned_Data'!D8="Airport",1,0)</f>
        <v>0</v>
      </c>
      <c r="G9" s="26">
        <f>IF('2_Cleaned_Data'!D8="High Street",1,0)</f>
        <v>1</v>
      </c>
      <c r="H9" s="26">
        <f>IF('2_Cleaned_Data'!D8="Mall",1,0)</f>
        <v>0</v>
      </c>
    </row>
    <row r="10" spans="1:8" x14ac:dyDescent="0.45">
      <c r="A10" s="25">
        <f>'2_Cleaned_Data'!M9</f>
        <v>806615.54</v>
      </c>
      <c r="B10" s="25">
        <f>'2_Cleaned_Data'!E9</f>
        <v>46213.45</v>
      </c>
      <c r="C10" s="26">
        <f>'2_Cleaned_Data'!F9</f>
        <v>10616</v>
      </c>
      <c r="D10" s="26">
        <f>'2_Cleaned_Data'!G9</f>
        <v>0.122</v>
      </c>
      <c r="E10" s="26">
        <f>'2_Cleaned_Data'!I9</f>
        <v>85.2</v>
      </c>
      <c r="F10" s="26">
        <f>IF('2_Cleaned_Data'!D9="Airport",1,0)</f>
        <v>0</v>
      </c>
      <c r="G10" s="26">
        <f>IF('2_Cleaned_Data'!D9="High Street",1,0)</f>
        <v>1</v>
      </c>
      <c r="H10" s="26">
        <f>IF('2_Cleaned_Data'!D9="Mall",1,0)</f>
        <v>0</v>
      </c>
    </row>
    <row r="11" spans="1:8" x14ac:dyDescent="0.45">
      <c r="A11" s="25">
        <f>'2_Cleaned_Data'!M10</f>
        <v>850164.26</v>
      </c>
      <c r="B11" s="25">
        <f>'2_Cleaned_Data'!E10</f>
        <v>68148.52</v>
      </c>
      <c r="C11" s="26">
        <f>'2_Cleaned_Data'!F10</f>
        <v>8567</v>
      </c>
      <c r="D11" s="26">
        <f>'2_Cleaned_Data'!G10</f>
        <v>0.127</v>
      </c>
      <c r="E11" s="26">
        <f>'2_Cleaned_Data'!I10</f>
        <v>95.6</v>
      </c>
      <c r="F11" s="26">
        <f>IF('2_Cleaned_Data'!D10="Airport",1,0)</f>
        <v>0</v>
      </c>
      <c r="G11" s="26">
        <f>IF('2_Cleaned_Data'!D10="High Street",1,0)</f>
        <v>1</v>
      </c>
      <c r="H11" s="26">
        <f>IF('2_Cleaned_Data'!D10="Mall",1,0)</f>
        <v>0</v>
      </c>
    </row>
    <row r="12" spans="1:8" x14ac:dyDescent="0.45">
      <c r="A12" s="25">
        <f>'2_Cleaned_Data'!M11</f>
        <v>930581.7</v>
      </c>
      <c r="B12" s="25">
        <f>'2_Cleaned_Data'!E11</f>
        <v>71838.86</v>
      </c>
      <c r="C12" s="26">
        <f>'2_Cleaned_Data'!F11</f>
        <v>10979</v>
      </c>
      <c r="D12" s="26">
        <f>'2_Cleaned_Data'!G11</f>
        <v>0.215</v>
      </c>
      <c r="E12" s="26">
        <f>'2_Cleaned_Data'!I11</f>
        <v>88.6</v>
      </c>
      <c r="F12" s="26">
        <f>IF('2_Cleaned_Data'!D11="Airport",1,0)</f>
        <v>1</v>
      </c>
      <c r="G12" s="26">
        <f>IF('2_Cleaned_Data'!D11="High Street",1,0)</f>
        <v>0</v>
      </c>
      <c r="H12" s="26">
        <f>IF('2_Cleaned_Data'!D11="Mall",1,0)</f>
        <v>0</v>
      </c>
    </row>
    <row r="13" spans="1:8" x14ac:dyDescent="0.45">
      <c r="A13" s="25">
        <f>'2_Cleaned_Data'!M12</f>
        <v>779010.94</v>
      </c>
      <c r="B13" s="25">
        <f>'2_Cleaned_Data'!E12</f>
        <v>68133.440000000002</v>
      </c>
      <c r="C13" s="26">
        <f>'2_Cleaned_Data'!F12</f>
        <v>9459</v>
      </c>
      <c r="D13" s="26">
        <f>'2_Cleaned_Data'!G12</f>
        <v>0.22</v>
      </c>
      <c r="E13" s="26">
        <f>'2_Cleaned_Data'!I12</f>
        <v>85</v>
      </c>
      <c r="F13" s="26">
        <f>IF('2_Cleaned_Data'!D12="Airport",1,0)</f>
        <v>1</v>
      </c>
      <c r="G13" s="26">
        <f>IF('2_Cleaned_Data'!D12="High Street",1,0)</f>
        <v>0</v>
      </c>
      <c r="H13" s="26">
        <f>IF('2_Cleaned_Data'!D12="Mall",1,0)</f>
        <v>0</v>
      </c>
    </row>
    <row r="14" spans="1:8" x14ac:dyDescent="0.45">
      <c r="A14" s="25">
        <f>'2_Cleaned_Data'!M13</f>
        <v>723060.76</v>
      </c>
      <c r="B14" s="25">
        <f>'2_Cleaned_Data'!E13</f>
        <v>34285.21</v>
      </c>
      <c r="C14" s="26">
        <f>'2_Cleaned_Data'!F13</f>
        <v>9172</v>
      </c>
      <c r="D14" s="26">
        <f>'2_Cleaned_Data'!G13</f>
        <v>0.21299999999999999</v>
      </c>
      <c r="E14" s="26">
        <f>'2_Cleaned_Data'!I13</f>
        <v>88.3</v>
      </c>
      <c r="F14" s="26">
        <f>IF('2_Cleaned_Data'!D13="Airport",1,0)</f>
        <v>1</v>
      </c>
      <c r="G14" s="26">
        <f>IF('2_Cleaned_Data'!D13="High Street",1,0)</f>
        <v>0</v>
      </c>
      <c r="H14" s="26">
        <f>IF('2_Cleaned_Data'!D13="Mall",1,0)</f>
        <v>0</v>
      </c>
    </row>
    <row r="15" spans="1:8" x14ac:dyDescent="0.45">
      <c r="A15" s="25">
        <f>'2_Cleaned_Data'!M14</f>
        <v>910791.94</v>
      </c>
      <c r="B15" s="25">
        <f>'2_Cleaned_Data'!E14</f>
        <v>67979.88</v>
      </c>
      <c r="C15" s="26">
        <f>'2_Cleaned_Data'!F14</f>
        <v>11230</v>
      </c>
      <c r="D15" s="26">
        <f>'2_Cleaned_Data'!G14</f>
        <v>2E-3</v>
      </c>
      <c r="E15" s="26">
        <f>'2_Cleaned_Data'!I14</f>
        <v>85.3</v>
      </c>
      <c r="F15" s="26">
        <f>IF('2_Cleaned_Data'!D14="Airport",1,0)</f>
        <v>1</v>
      </c>
      <c r="G15" s="26">
        <f>IF('2_Cleaned_Data'!D14="High Street",1,0)</f>
        <v>0</v>
      </c>
      <c r="H15" s="26">
        <f>IF('2_Cleaned_Data'!D14="Mall",1,0)</f>
        <v>0</v>
      </c>
    </row>
    <row r="16" spans="1:8" x14ac:dyDescent="0.45">
      <c r="A16" s="25">
        <f>'2_Cleaned_Data'!M15</f>
        <v>922168.6</v>
      </c>
      <c r="B16" s="25">
        <f>'2_Cleaned_Data'!E15</f>
        <v>71828.259999999995</v>
      </c>
      <c r="C16" s="26">
        <f>'2_Cleaned_Data'!F15</f>
        <v>12775</v>
      </c>
      <c r="D16" s="26">
        <f>'2_Cleaned_Data'!G15</f>
        <v>0.11600000000000001</v>
      </c>
      <c r="E16" s="26">
        <f>'2_Cleaned_Data'!I15</f>
        <v>81.7</v>
      </c>
      <c r="F16" s="26">
        <f>IF('2_Cleaned_Data'!D15="Airport",1,0)</f>
        <v>0</v>
      </c>
      <c r="G16" s="26">
        <f>IF('2_Cleaned_Data'!D15="High Street",1,0)</f>
        <v>0</v>
      </c>
      <c r="H16" s="26">
        <f>IF('2_Cleaned_Data'!D15="Mall",1,0)</f>
        <v>0</v>
      </c>
    </row>
    <row r="17" spans="1:8" x14ac:dyDescent="0.45">
      <c r="A17" s="25">
        <f>'2_Cleaned_Data'!M16</f>
        <v>726606.28</v>
      </c>
      <c r="B17" s="25">
        <f>'2_Cleaned_Data'!E16</f>
        <v>55716.82</v>
      </c>
      <c r="C17" s="26">
        <f>'2_Cleaned_Data'!F16</f>
        <v>10054</v>
      </c>
      <c r="D17" s="26">
        <f>'2_Cleaned_Data'!G16</f>
        <v>0.14599999999999999</v>
      </c>
      <c r="E17" s="26">
        <f>'2_Cleaned_Data'!I16</f>
        <v>84.9</v>
      </c>
      <c r="F17" s="26">
        <f>IF('2_Cleaned_Data'!D16="Airport",1,0)</f>
        <v>0</v>
      </c>
      <c r="G17" s="26">
        <f>IF('2_Cleaned_Data'!D16="High Street",1,0)</f>
        <v>0</v>
      </c>
      <c r="H17" s="26">
        <f>IF('2_Cleaned_Data'!D16="Mall",1,0)</f>
        <v>0</v>
      </c>
    </row>
    <row r="18" spans="1:8" x14ac:dyDescent="0.45">
      <c r="A18" s="25">
        <f>'2_Cleaned_Data'!M17</f>
        <v>746501.09</v>
      </c>
      <c r="B18" s="25">
        <f>'2_Cleaned_Data'!E17</f>
        <v>59909.51</v>
      </c>
      <c r="C18" s="26">
        <f>'2_Cleaned_Data'!F17</f>
        <v>8895</v>
      </c>
      <c r="D18" s="26">
        <f>'2_Cleaned_Data'!G17</f>
        <v>0.22800000000000001</v>
      </c>
      <c r="E18" s="26">
        <f>'2_Cleaned_Data'!I17</f>
        <v>88.8</v>
      </c>
      <c r="F18" s="26">
        <f>IF('2_Cleaned_Data'!D17="Airport",1,0)</f>
        <v>0</v>
      </c>
      <c r="G18" s="26">
        <f>IF('2_Cleaned_Data'!D17="High Street",1,0)</f>
        <v>0</v>
      </c>
      <c r="H18" s="26">
        <f>IF('2_Cleaned_Data'!D17="Mall",1,0)</f>
        <v>0</v>
      </c>
    </row>
    <row r="19" spans="1:8" x14ac:dyDescent="0.45">
      <c r="A19" s="25">
        <f>'2_Cleaned_Data'!M18</f>
        <v>834017.02</v>
      </c>
      <c r="B19" s="25">
        <f>'2_Cleaned_Data'!E18</f>
        <v>75305.710000000006</v>
      </c>
      <c r="C19" s="26">
        <f>'2_Cleaned_Data'!F18</f>
        <v>10940</v>
      </c>
      <c r="D19" s="26">
        <f>'2_Cleaned_Data'!G18</f>
        <v>6.0000000000000001E-3</v>
      </c>
      <c r="E19" s="26">
        <f>'2_Cleaned_Data'!I18</f>
        <v>76.5</v>
      </c>
      <c r="F19" s="26">
        <f>IF('2_Cleaned_Data'!D18="Airport",1,0)</f>
        <v>0</v>
      </c>
      <c r="G19" s="26">
        <f>IF('2_Cleaned_Data'!D18="High Street",1,0)</f>
        <v>0</v>
      </c>
      <c r="H19" s="26">
        <f>IF('2_Cleaned_Data'!D18="Mall",1,0)</f>
        <v>0</v>
      </c>
    </row>
    <row r="20" spans="1:8" x14ac:dyDescent="0.45">
      <c r="A20" s="25">
        <f>'2_Cleaned_Data'!M19</f>
        <v>666152.52</v>
      </c>
      <c r="B20" s="25">
        <f>'2_Cleaned_Data'!E19</f>
        <v>48804.22</v>
      </c>
      <c r="C20" s="26">
        <f>'2_Cleaned_Data'!F19</f>
        <v>7057</v>
      </c>
      <c r="D20" s="26">
        <f>'2_Cleaned_Data'!G19</f>
        <v>5.0000000000000001E-3</v>
      </c>
      <c r="E20" s="26">
        <f>'2_Cleaned_Data'!I19</f>
        <v>87.7</v>
      </c>
      <c r="F20" s="26">
        <f>IF('2_Cleaned_Data'!D19="Airport",1,0)</f>
        <v>0</v>
      </c>
      <c r="G20" s="26">
        <f>IF('2_Cleaned_Data'!D19="High Street",1,0)</f>
        <v>0</v>
      </c>
      <c r="H20" s="26">
        <f>IF('2_Cleaned_Data'!D19="Mall",1,0)</f>
        <v>0</v>
      </c>
    </row>
    <row r="21" spans="1:8" x14ac:dyDescent="0.45">
      <c r="A21" s="25">
        <f>'2_Cleaned_Data'!M20</f>
        <v>573155.18999999994</v>
      </c>
      <c r="B21" s="25">
        <f>'2_Cleaned_Data'!E20</f>
        <v>59117.9</v>
      </c>
      <c r="C21" s="26">
        <f>'2_Cleaned_Data'!F20</f>
        <v>4263</v>
      </c>
      <c r="D21" s="26">
        <f>'2_Cleaned_Data'!G20</f>
        <v>0.11899999999999999</v>
      </c>
      <c r="E21" s="26">
        <f>'2_Cleaned_Data'!I20</f>
        <v>87.6</v>
      </c>
      <c r="F21" s="26">
        <f>IF('2_Cleaned_Data'!D20="Airport",1,0)</f>
        <v>0</v>
      </c>
      <c r="G21" s="26">
        <f>IF('2_Cleaned_Data'!D20="High Street",1,0)</f>
        <v>0</v>
      </c>
      <c r="H21" s="26">
        <f>IF('2_Cleaned_Data'!D20="Mall",1,0)</f>
        <v>0</v>
      </c>
    </row>
    <row r="22" spans="1:8" x14ac:dyDescent="0.45">
      <c r="A22" s="25">
        <f>'2_Cleaned_Data'!M21</f>
        <v>666573.19999999995</v>
      </c>
      <c r="B22" s="25">
        <f>'2_Cleaned_Data'!E21</f>
        <v>78831.12</v>
      </c>
      <c r="C22" s="26">
        <f>'2_Cleaned_Data'!F21</f>
        <v>5538</v>
      </c>
      <c r="D22" s="26">
        <f>'2_Cleaned_Data'!G21</f>
        <v>0</v>
      </c>
      <c r="E22" s="26">
        <f>'2_Cleaned_Data'!I21</f>
        <v>94.1</v>
      </c>
      <c r="F22" s="26">
        <f>IF('2_Cleaned_Data'!D21="Airport",1,0)</f>
        <v>0</v>
      </c>
      <c r="G22" s="26">
        <f>IF('2_Cleaned_Data'!D21="High Street",1,0)</f>
        <v>0</v>
      </c>
      <c r="H22" s="26">
        <f>IF('2_Cleaned_Data'!D21="Mall",1,0)</f>
        <v>0</v>
      </c>
    </row>
    <row r="23" spans="1:8" x14ac:dyDescent="0.45">
      <c r="A23" s="25">
        <f>'2_Cleaned_Data'!M22</f>
        <v>591619.94999999995</v>
      </c>
      <c r="B23" s="25">
        <f>'2_Cleaned_Data'!E22</f>
        <v>41441.93</v>
      </c>
      <c r="C23" s="26">
        <f>'2_Cleaned_Data'!F22</f>
        <v>4865</v>
      </c>
      <c r="D23" s="26">
        <f>'2_Cleaned_Data'!G22</f>
        <v>0.158</v>
      </c>
      <c r="E23" s="26">
        <f>'2_Cleaned_Data'!I22</f>
        <v>88.3</v>
      </c>
      <c r="F23" s="26">
        <f>IF('2_Cleaned_Data'!D22="Airport",1,0)</f>
        <v>0</v>
      </c>
      <c r="G23" s="26">
        <f>IF('2_Cleaned_Data'!D22="High Street",1,0)</f>
        <v>0</v>
      </c>
      <c r="H23" s="26">
        <f>IF('2_Cleaned_Data'!D22="Mall",1,0)</f>
        <v>0</v>
      </c>
    </row>
    <row r="24" spans="1:8" x14ac:dyDescent="0.45">
      <c r="A24" s="25">
        <f>'2_Cleaned_Data'!M23</f>
        <v>415721.82</v>
      </c>
      <c r="B24" s="25">
        <f>'2_Cleaned_Data'!E23</f>
        <v>30356.28</v>
      </c>
      <c r="C24" s="26">
        <f>'2_Cleaned_Data'!F23</f>
        <v>2822</v>
      </c>
      <c r="D24" s="26">
        <f>'2_Cleaned_Data'!G23</f>
        <v>0.23100000000000001</v>
      </c>
      <c r="E24" s="26">
        <f>'2_Cleaned_Data'!I23</f>
        <v>84.8</v>
      </c>
      <c r="F24" s="26">
        <f>IF('2_Cleaned_Data'!D23="Airport",1,0)</f>
        <v>0</v>
      </c>
      <c r="G24" s="26">
        <f>IF('2_Cleaned_Data'!D23="High Street",1,0)</f>
        <v>0</v>
      </c>
      <c r="H24" s="26">
        <f>IF('2_Cleaned_Data'!D23="Mall",1,0)</f>
        <v>0</v>
      </c>
    </row>
    <row r="25" spans="1:8" x14ac:dyDescent="0.45">
      <c r="A25" s="25">
        <f>'2_Cleaned_Data'!M24</f>
        <v>491905.13</v>
      </c>
      <c r="B25" s="25">
        <f>'2_Cleaned_Data'!E24</f>
        <v>33518.879999999997</v>
      </c>
      <c r="C25" s="26">
        <f>'2_Cleaned_Data'!F24</f>
        <v>2121</v>
      </c>
      <c r="D25" s="26">
        <f>'2_Cleaned_Data'!G24</f>
        <v>0.17599999999999999</v>
      </c>
      <c r="E25" s="26">
        <f>'2_Cleaned_Data'!I24</f>
        <v>88.5</v>
      </c>
      <c r="F25" s="26">
        <f>IF('2_Cleaned_Data'!D24="Airport",1,0)</f>
        <v>0</v>
      </c>
      <c r="G25" s="26">
        <f>IF('2_Cleaned_Data'!D24="High Street",1,0)</f>
        <v>0</v>
      </c>
      <c r="H25" s="26">
        <f>IF('2_Cleaned_Data'!D24="Mall",1,0)</f>
        <v>0</v>
      </c>
    </row>
    <row r="26" spans="1:8" x14ac:dyDescent="0.45">
      <c r="A26" s="25">
        <f>'2_Cleaned_Data'!M25</f>
        <v>555929.4</v>
      </c>
      <c r="B26" s="25">
        <f>'2_Cleaned_Data'!E25</f>
        <v>42267.37</v>
      </c>
      <c r="C26" s="26">
        <f>'2_Cleaned_Data'!F25</f>
        <v>3364</v>
      </c>
      <c r="D26" s="26">
        <f>'2_Cleaned_Data'!G25</f>
        <v>0.16</v>
      </c>
      <c r="E26" s="26">
        <f>'2_Cleaned_Data'!I25</f>
        <v>82</v>
      </c>
      <c r="F26" s="26">
        <f>IF('2_Cleaned_Data'!D25="Airport",1,0)</f>
        <v>0</v>
      </c>
      <c r="G26" s="26">
        <f>IF('2_Cleaned_Data'!D25="High Street",1,0)</f>
        <v>0</v>
      </c>
      <c r="H26" s="26">
        <f>IF('2_Cleaned_Data'!D25="Mall",1,0)</f>
        <v>0</v>
      </c>
    </row>
    <row r="27" spans="1:8" x14ac:dyDescent="0.45">
      <c r="A27" s="25">
        <f>'2_Cleaned_Data'!M26</f>
        <v>565810.99</v>
      </c>
      <c r="B27" s="25">
        <f>'2_Cleaned_Data'!E26</f>
        <v>62060.43</v>
      </c>
      <c r="C27" s="26">
        <f>'2_Cleaned_Data'!F26</f>
        <v>2613</v>
      </c>
      <c r="D27" s="26">
        <f>'2_Cleaned_Data'!G26</f>
        <v>0.216</v>
      </c>
      <c r="E27" s="26">
        <f>'2_Cleaned_Data'!I26</f>
        <v>92.1</v>
      </c>
      <c r="F27" s="26">
        <f>IF('2_Cleaned_Data'!D26="Airport",1,0)</f>
        <v>0</v>
      </c>
      <c r="G27" s="26">
        <f>IF('2_Cleaned_Data'!D26="High Street",1,0)</f>
        <v>0</v>
      </c>
      <c r="H27" s="26">
        <f>IF('2_Cleaned_Data'!D26="Mall",1,0)</f>
        <v>0</v>
      </c>
    </row>
    <row r="28" spans="1:8" x14ac:dyDescent="0.45">
      <c r="A28" s="25">
        <f>'2_Cleaned_Data'!M27</f>
        <v>811771.14</v>
      </c>
      <c r="B28" s="25">
        <f>'2_Cleaned_Data'!E27</f>
        <v>57696.69</v>
      </c>
      <c r="C28" s="26">
        <f>'2_Cleaned_Data'!F27</f>
        <v>10218</v>
      </c>
      <c r="D28" s="26">
        <f>'2_Cleaned_Data'!G27</f>
        <v>0.121</v>
      </c>
      <c r="E28" s="26">
        <f>'2_Cleaned_Data'!I27</f>
        <v>94.8</v>
      </c>
      <c r="F28" s="26">
        <f>IF('2_Cleaned_Data'!D27="Airport",1,0)</f>
        <v>0</v>
      </c>
      <c r="G28" s="26">
        <f>IF('2_Cleaned_Data'!D27="High Street",1,0)</f>
        <v>0</v>
      </c>
      <c r="H28" s="26">
        <f>IF('2_Cleaned_Data'!D27="Mall",1,0)</f>
        <v>1</v>
      </c>
    </row>
    <row r="29" spans="1:8" x14ac:dyDescent="0.45">
      <c r="A29" s="25">
        <f>'2_Cleaned_Data'!M28</f>
        <v>800451.94</v>
      </c>
      <c r="B29" s="25">
        <f>'2_Cleaned_Data'!E28</f>
        <v>172415.52</v>
      </c>
      <c r="C29" s="26">
        <f>'2_Cleaned_Data'!F28</f>
        <v>8927</v>
      </c>
      <c r="D29" s="26">
        <f>'2_Cleaned_Data'!G28</f>
        <v>0.14000000000000001</v>
      </c>
      <c r="E29" s="26">
        <f>'2_Cleaned_Data'!I28</f>
        <v>86.2</v>
      </c>
      <c r="F29" s="26">
        <f>IF('2_Cleaned_Data'!D28="Airport",1,0)</f>
        <v>0</v>
      </c>
      <c r="G29" s="26">
        <f>IF('2_Cleaned_Data'!D28="High Street",1,0)</f>
        <v>0</v>
      </c>
      <c r="H29" s="26">
        <f>IF('2_Cleaned_Data'!D28="Mall",1,0)</f>
        <v>1</v>
      </c>
    </row>
    <row r="30" spans="1:8" x14ac:dyDescent="0.45">
      <c r="A30" s="25">
        <f>'2_Cleaned_Data'!M29</f>
        <v>783672.82</v>
      </c>
      <c r="B30" s="25">
        <f>'2_Cleaned_Data'!E29</f>
        <v>55270.52</v>
      </c>
      <c r="C30" s="26">
        <f>'2_Cleaned_Data'!F29</f>
        <v>9315</v>
      </c>
      <c r="D30" s="26">
        <f>'2_Cleaned_Data'!G29</f>
        <v>0.16900000000000001</v>
      </c>
      <c r="E30" s="26">
        <f>'2_Cleaned_Data'!I29</f>
        <v>91.9</v>
      </c>
      <c r="F30" s="26">
        <f>IF('2_Cleaned_Data'!D29="Airport",1,0)</f>
        <v>0</v>
      </c>
      <c r="G30" s="26">
        <f>IF('2_Cleaned_Data'!D29="High Street",1,0)</f>
        <v>0</v>
      </c>
      <c r="H30" s="26">
        <f>IF('2_Cleaned_Data'!D29="Mall",1,0)</f>
        <v>1</v>
      </c>
    </row>
    <row r="31" spans="1:8" x14ac:dyDescent="0.45">
      <c r="A31" s="25">
        <f>'2_Cleaned_Data'!M30</f>
        <v>701641.97</v>
      </c>
      <c r="B31" s="25">
        <f>'2_Cleaned_Data'!E30</f>
        <v>52715.1</v>
      </c>
      <c r="C31" s="26">
        <f>'2_Cleaned_Data'!F30</f>
        <v>7223</v>
      </c>
      <c r="D31" s="26">
        <f>'2_Cleaned_Data'!G30</f>
        <v>0.122</v>
      </c>
      <c r="E31" s="26">
        <f>'2_Cleaned_Data'!I30</f>
        <v>84.2</v>
      </c>
      <c r="F31" s="26">
        <f>IF('2_Cleaned_Data'!D30="Airport",1,0)</f>
        <v>0</v>
      </c>
      <c r="G31" s="26">
        <f>IF('2_Cleaned_Data'!D30="High Street",1,0)</f>
        <v>0</v>
      </c>
      <c r="H31" s="26">
        <f>IF('2_Cleaned_Data'!D30="Mall",1,0)</f>
        <v>1</v>
      </c>
    </row>
    <row r="32" spans="1:8" x14ac:dyDescent="0.45">
      <c r="A32" s="25">
        <f>'2_Cleaned_Data'!M31</f>
        <v>511844.41</v>
      </c>
      <c r="B32" s="25">
        <f>'2_Cleaned_Data'!E31</f>
        <v>68600.62</v>
      </c>
      <c r="C32" s="26">
        <f>'2_Cleaned_Data'!F31</f>
        <v>3988</v>
      </c>
      <c r="D32" s="26">
        <f>'2_Cleaned_Data'!G31</f>
        <v>0.124</v>
      </c>
      <c r="E32" s="26">
        <f>'2_Cleaned_Data'!I31</f>
        <v>85</v>
      </c>
      <c r="F32" s="26">
        <f>IF('2_Cleaned_Data'!D31="Airport",1,0)</f>
        <v>0</v>
      </c>
      <c r="G32" s="26">
        <f>IF('2_Cleaned_Data'!D31="High Street",1,0)</f>
        <v>0</v>
      </c>
      <c r="H32" s="26">
        <f>IF('2_Cleaned_Data'!D31="Mall",1,0)</f>
        <v>0</v>
      </c>
    </row>
    <row r="33" spans="1:8" x14ac:dyDescent="0.45">
      <c r="A33" s="25">
        <f>'2_Cleaned_Data'!M32</f>
        <v>537383.79</v>
      </c>
      <c r="B33" s="25">
        <f>'2_Cleaned_Data'!E32</f>
        <v>63176.73</v>
      </c>
      <c r="C33" s="26">
        <f>'2_Cleaned_Data'!F32</f>
        <v>2390</v>
      </c>
      <c r="D33" s="26">
        <f>'2_Cleaned_Data'!G32</f>
        <v>0.216</v>
      </c>
      <c r="E33" s="26">
        <f>'2_Cleaned_Data'!I32</f>
        <v>87.5</v>
      </c>
      <c r="F33" s="26">
        <f>IF('2_Cleaned_Data'!D32="Airport",1,0)</f>
        <v>0</v>
      </c>
      <c r="G33" s="26">
        <f>IF('2_Cleaned_Data'!D32="High Street",1,0)</f>
        <v>0</v>
      </c>
      <c r="H33" s="26">
        <f>IF('2_Cleaned_Data'!D32="Mall",1,0)</f>
        <v>0</v>
      </c>
    </row>
    <row r="34" spans="1:8" x14ac:dyDescent="0.45">
      <c r="A34" s="25">
        <f>'2_Cleaned_Data'!M33</f>
        <v>500173.02</v>
      </c>
      <c r="B34" s="25">
        <f>'2_Cleaned_Data'!E33</f>
        <v>44970.080000000002</v>
      </c>
      <c r="C34" s="26">
        <f>'2_Cleaned_Data'!F33</f>
        <v>2471</v>
      </c>
      <c r="D34" s="26">
        <f>'2_Cleaned_Data'!G33</f>
        <v>0.13600000000000001</v>
      </c>
      <c r="E34" s="26">
        <f>'2_Cleaned_Data'!I33</f>
        <v>87.6</v>
      </c>
      <c r="F34" s="26">
        <f>IF('2_Cleaned_Data'!D33="Airport",1,0)</f>
        <v>0</v>
      </c>
      <c r="G34" s="26">
        <f>IF('2_Cleaned_Data'!D33="High Street",1,0)</f>
        <v>0</v>
      </c>
      <c r="H34" s="26">
        <f>IF('2_Cleaned_Data'!D33="Mall",1,0)</f>
        <v>0</v>
      </c>
    </row>
    <row r="35" spans="1:8" x14ac:dyDescent="0.45">
      <c r="A35" s="25">
        <f>'2_Cleaned_Data'!M34</f>
        <v>427917.38</v>
      </c>
      <c r="B35" s="25">
        <f>'2_Cleaned_Data'!E34</f>
        <v>69816.350000000006</v>
      </c>
      <c r="C35" s="26">
        <f>'2_Cleaned_Data'!F34</f>
        <v>971</v>
      </c>
      <c r="D35" s="26">
        <f>'2_Cleaned_Data'!G34</f>
        <v>0.16800000000000001</v>
      </c>
      <c r="E35" s="26">
        <f>'2_Cleaned_Data'!I34</f>
        <v>89.9</v>
      </c>
      <c r="F35" s="26">
        <f>IF('2_Cleaned_Data'!D34="Airport",1,0)</f>
        <v>0</v>
      </c>
      <c r="G35" s="26">
        <f>IF('2_Cleaned_Data'!D34="High Street",1,0)</f>
        <v>0</v>
      </c>
      <c r="H35" s="26">
        <f>IF('2_Cleaned_Data'!D34="Mall",1,0)</f>
        <v>0</v>
      </c>
    </row>
    <row r="36" spans="1:8" x14ac:dyDescent="0.45">
      <c r="A36" s="25">
        <f>'2_Cleaned_Data'!M35</f>
        <v>641865.03</v>
      </c>
      <c r="B36" s="25">
        <f>'2_Cleaned_Data'!E35</f>
        <v>54597.83</v>
      </c>
      <c r="C36" s="26">
        <f>'2_Cleaned_Data'!F35</f>
        <v>9429</v>
      </c>
      <c r="D36" s="26">
        <f>'2_Cleaned_Data'!G35</f>
        <v>0.188</v>
      </c>
      <c r="E36" s="26">
        <f>'2_Cleaned_Data'!I35</f>
        <v>83.3</v>
      </c>
      <c r="F36" s="26">
        <f>IF('2_Cleaned_Data'!D35="Airport",1,0)</f>
        <v>0</v>
      </c>
      <c r="G36" s="26">
        <f>IF('2_Cleaned_Data'!D35="High Street",1,0)</f>
        <v>0</v>
      </c>
      <c r="H36" s="26">
        <f>IF('2_Cleaned_Data'!D35="Mall",1,0)</f>
        <v>0</v>
      </c>
    </row>
    <row r="37" spans="1:8" x14ac:dyDescent="0.45">
      <c r="A37" s="25">
        <f>'2_Cleaned_Data'!M36</f>
        <v>798952.17</v>
      </c>
      <c r="B37" s="25">
        <f>'2_Cleaned_Data'!E36</f>
        <v>74413.88</v>
      </c>
      <c r="C37" s="26">
        <f>'2_Cleaned_Data'!F36</f>
        <v>9449</v>
      </c>
      <c r="D37" s="26">
        <f>'2_Cleaned_Data'!G36</f>
        <v>3.9E-2</v>
      </c>
      <c r="E37" s="26">
        <f>'2_Cleaned_Data'!I36</f>
        <v>92.1</v>
      </c>
      <c r="F37" s="26">
        <f>IF('2_Cleaned_Data'!D36="Airport",1,0)</f>
        <v>0</v>
      </c>
      <c r="G37" s="26">
        <f>IF('2_Cleaned_Data'!D36="High Street",1,0)</f>
        <v>0</v>
      </c>
      <c r="H37" s="26">
        <f>IF('2_Cleaned_Data'!D36="Mall",1,0)</f>
        <v>0</v>
      </c>
    </row>
    <row r="38" spans="1:8" x14ac:dyDescent="0.45">
      <c r="A38" s="25">
        <f>'2_Cleaned_Data'!M37</f>
        <v>800979.78</v>
      </c>
      <c r="B38" s="25">
        <f>'2_Cleaned_Data'!E37</f>
        <v>52483.77</v>
      </c>
      <c r="C38" s="26">
        <f>'2_Cleaned_Data'!F37</f>
        <v>10453</v>
      </c>
      <c r="D38" s="26">
        <f>'2_Cleaned_Data'!G37</f>
        <v>0.247</v>
      </c>
      <c r="E38" s="26">
        <f>'2_Cleaned_Data'!I37</f>
        <v>99</v>
      </c>
      <c r="F38" s="26">
        <f>IF('2_Cleaned_Data'!D37="Airport",1,0)</f>
        <v>0</v>
      </c>
      <c r="G38" s="26">
        <f>IF('2_Cleaned_Data'!D37="High Street",1,0)</f>
        <v>0</v>
      </c>
      <c r="H38" s="26">
        <f>IF('2_Cleaned_Data'!D37="Mall",1,0)</f>
        <v>0</v>
      </c>
    </row>
    <row r="39" spans="1:8" x14ac:dyDescent="0.45">
      <c r="A39" s="25">
        <f>'2_Cleaned_Data'!M38</f>
        <v>820593.93</v>
      </c>
      <c r="B39" s="25">
        <f>'2_Cleaned_Data'!E38</f>
        <v>75269.87</v>
      </c>
      <c r="C39" s="26">
        <f>'2_Cleaned_Data'!F38</f>
        <v>8838</v>
      </c>
      <c r="D39" s="26">
        <f>'2_Cleaned_Data'!G38</f>
        <v>9.1999999999999998E-2</v>
      </c>
      <c r="E39" s="26">
        <f>'2_Cleaned_Data'!I38</f>
        <v>83.1</v>
      </c>
      <c r="F39" s="26">
        <f>IF('2_Cleaned_Data'!D38="Airport",1,0)</f>
        <v>0</v>
      </c>
      <c r="G39" s="26">
        <f>IF('2_Cleaned_Data'!D38="High Street",1,0)</f>
        <v>0</v>
      </c>
      <c r="H39" s="26">
        <f>IF('2_Cleaned_Data'!D38="Mall",1,0)</f>
        <v>1</v>
      </c>
    </row>
    <row r="40" spans="1:8" x14ac:dyDescent="0.45">
      <c r="A40" s="25">
        <f>'2_Cleaned_Data'!M39</f>
        <v>718330.53</v>
      </c>
      <c r="B40" s="25">
        <f>'2_Cleaned_Data'!E39</f>
        <v>61245.41</v>
      </c>
      <c r="C40" s="26">
        <f>'2_Cleaned_Data'!F39</f>
        <v>8156</v>
      </c>
      <c r="D40" s="26">
        <f>'2_Cleaned_Data'!G39</f>
        <v>0.156</v>
      </c>
      <c r="E40" s="26">
        <f>'2_Cleaned_Data'!I39</f>
        <v>92.9</v>
      </c>
      <c r="F40" s="26">
        <f>IF('2_Cleaned_Data'!D39="Airport",1,0)</f>
        <v>0</v>
      </c>
      <c r="G40" s="26">
        <f>IF('2_Cleaned_Data'!D39="High Street",1,0)</f>
        <v>0</v>
      </c>
      <c r="H40" s="26">
        <f>IF('2_Cleaned_Data'!D39="Mall",1,0)</f>
        <v>1</v>
      </c>
    </row>
    <row r="41" spans="1:8" x14ac:dyDescent="0.45">
      <c r="A41" s="25">
        <f>'2_Cleaned_Data'!M40</f>
        <v>736633.4</v>
      </c>
      <c r="B41" s="25">
        <f>'2_Cleaned_Data'!E40</f>
        <v>93381.26</v>
      </c>
      <c r="C41" s="26">
        <f>'2_Cleaned_Data'!F40</f>
        <v>7562</v>
      </c>
      <c r="D41" s="26">
        <f>'2_Cleaned_Data'!G40</f>
        <v>0.19800000000000001</v>
      </c>
      <c r="E41" s="26">
        <f>'2_Cleaned_Data'!I40</f>
        <v>82.9</v>
      </c>
      <c r="F41" s="26">
        <f>IF('2_Cleaned_Data'!D40="Airport",1,0)</f>
        <v>0</v>
      </c>
      <c r="G41" s="26">
        <f>IF('2_Cleaned_Data'!D40="High Street",1,0)</f>
        <v>0</v>
      </c>
      <c r="H41" s="26">
        <f>IF('2_Cleaned_Data'!D40="Mall",1,0)</f>
        <v>1</v>
      </c>
    </row>
    <row r="42" spans="1:8" x14ac:dyDescent="0.45">
      <c r="A42" s="25">
        <f>'2_Cleaned_Data'!M41</f>
        <v>828623.85</v>
      </c>
      <c r="B42" s="25">
        <f>'2_Cleaned_Data'!E41</f>
        <v>65012.19</v>
      </c>
      <c r="C42" s="26">
        <f>'2_Cleaned_Data'!F41</f>
        <v>9598</v>
      </c>
      <c r="D42" s="26">
        <f>'2_Cleaned_Data'!G41</f>
        <v>8.5000000000000006E-2</v>
      </c>
      <c r="E42" s="26">
        <f>'2_Cleaned_Data'!I41</f>
        <v>98.3</v>
      </c>
      <c r="F42" s="26">
        <f>IF('2_Cleaned_Data'!D41="Airport",1,0)</f>
        <v>0</v>
      </c>
      <c r="G42" s="26">
        <f>IF('2_Cleaned_Data'!D41="High Street",1,0)</f>
        <v>0</v>
      </c>
      <c r="H42" s="26">
        <f>IF('2_Cleaned_Data'!D41="Mall",1,0)</f>
        <v>1</v>
      </c>
    </row>
    <row r="43" spans="1:8" x14ac:dyDescent="0.45">
      <c r="A43" s="25">
        <f>'2_Cleaned_Data'!M42</f>
        <v>592195.85</v>
      </c>
      <c r="B43" s="25">
        <f>'2_Cleaned_Data'!E42</f>
        <v>40462.94</v>
      </c>
      <c r="C43" s="26">
        <f>'2_Cleaned_Data'!F42</f>
        <v>3660</v>
      </c>
      <c r="D43" s="26">
        <f>'2_Cleaned_Data'!G42</f>
        <v>0.218</v>
      </c>
      <c r="E43" s="26">
        <f>'2_Cleaned_Data'!I42</f>
        <v>95.2</v>
      </c>
      <c r="F43" s="26">
        <f>IF('2_Cleaned_Data'!D42="Airport",1,0)</f>
        <v>0</v>
      </c>
      <c r="G43" s="26">
        <f>IF('2_Cleaned_Data'!D42="High Street",1,0)</f>
        <v>0</v>
      </c>
      <c r="H43" s="26">
        <f>IF('2_Cleaned_Data'!D42="Mall",1,0)</f>
        <v>1</v>
      </c>
    </row>
    <row r="44" spans="1:8" x14ac:dyDescent="0.45">
      <c r="A44" s="25">
        <f>'2_Cleaned_Data'!M43</f>
        <v>532644.46</v>
      </c>
      <c r="B44" s="25">
        <f>'2_Cleaned_Data'!E43</f>
        <v>46123.88</v>
      </c>
      <c r="C44" s="26">
        <f>'2_Cleaned_Data'!F43</f>
        <v>3227</v>
      </c>
      <c r="D44" s="26">
        <f>'2_Cleaned_Data'!G43</f>
        <v>0.14299999999999999</v>
      </c>
      <c r="E44" s="26">
        <f>'2_Cleaned_Data'!I43</f>
        <v>75.400000000000006</v>
      </c>
      <c r="F44" s="26">
        <f>IF('2_Cleaned_Data'!D43="Airport",1,0)</f>
        <v>0</v>
      </c>
      <c r="G44" s="26">
        <f>IF('2_Cleaned_Data'!D43="High Street",1,0)</f>
        <v>0</v>
      </c>
      <c r="H44" s="26">
        <f>IF('2_Cleaned_Data'!D43="Mall",1,0)</f>
        <v>1</v>
      </c>
    </row>
    <row r="45" spans="1:8" x14ac:dyDescent="0.45">
      <c r="A45" s="25">
        <f>'2_Cleaned_Data'!M44</f>
        <v>657429.18000000005</v>
      </c>
      <c r="B45" s="25">
        <f>'2_Cleaned_Data'!E44</f>
        <v>68077.539999999994</v>
      </c>
      <c r="C45" s="26">
        <f>'2_Cleaned_Data'!F44</f>
        <v>3360</v>
      </c>
      <c r="D45" s="26">
        <f>'2_Cleaned_Data'!G44</f>
        <v>0.128</v>
      </c>
      <c r="E45" s="26">
        <f>'2_Cleaned_Data'!I44</f>
        <v>88.2</v>
      </c>
      <c r="F45" s="26">
        <f>IF('2_Cleaned_Data'!D44="Airport",1,0)</f>
        <v>0</v>
      </c>
      <c r="G45" s="26">
        <f>IF('2_Cleaned_Data'!D44="High Street",1,0)</f>
        <v>0</v>
      </c>
      <c r="H45" s="26">
        <f>IF('2_Cleaned_Data'!D44="Mall",1,0)</f>
        <v>1</v>
      </c>
    </row>
    <row r="46" spans="1:8" x14ac:dyDescent="0.45">
      <c r="A46" s="25">
        <f>'2_Cleaned_Data'!M45</f>
        <v>605178</v>
      </c>
      <c r="B46" s="25">
        <f>'2_Cleaned_Data'!E45</f>
        <v>64882.14</v>
      </c>
      <c r="C46" s="26">
        <f>'2_Cleaned_Data'!F45</f>
        <v>3642</v>
      </c>
      <c r="D46" s="26">
        <f>'2_Cleaned_Data'!G45</f>
        <v>1.9E-2</v>
      </c>
      <c r="E46" s="26">
        <f>'2_Cleaned_Data'!I45</f>
        <v>87.8</v>
      </c>
      <c r="F46" s="26">
        <f>IF('2_Cleaned_Data'!D45="Airport",1,0)</f>
        <v>0</v>
      </c>
      <c r="G46" s="26">
        <f>IF('2_Cleaned_Data'!D45="High Street",1,0)</f>
        <v>0</v>
      </c>
      <c r="H46" s="26">
        <f>IF('2_Cleaned_Data'!D45="Mall",1,0)</f>
        <v>1</v>
      </c>
    </row>
    <row r="47" spans="1:8" x14ac:dyDescent="0.45">
      <c r="A47" s="25">
        <f>'2_Cleaned_Data'!M46</f>
        <v>595467.6</v>
      </c>
      <c r="B47" s="25">
        <f>'2_Cleaned_Data'!E46</f>
        <v>138855.51</v>
      </c>
      <c r="C47" s="26">
        <f>'2_Cleaned_Data'!F46</f>
        <v>5145</v>
      </c>
      <c r="D47" s="26">
        <f>'2_Cleaned_Data'!G46</f>
        <v>0.06</v>
      </c>
      <c r="E47" s="26">
        <f>'2_Cleaned_Data'!I46</f>
        <v>88.2</v>
      </c>
      <c r="F47" s="26">
        <f>IF('2_Cleaned_Data'!D46="Airport",1,0)</f>
        <v>0</v>
      </c>
      <c r="G47" s="26">
        <f>IF('2_Cleaned_Data'!D46="High Street",1,0)</f>
        <v>0</v>
      </c>
      <c r="H47" s="26">
        <f>IF('2_Cleaned_Data'!D46="Mall",1,0)</f>
        <v>0</v>
      </c>
    </row>
    <row r="48" spans="1:8" x14ac:dyDescent="0.45">
      <c r="A48" s="25">
        <f>'2_Cleaned_Data'!M47</f>
        <v>599603.4</v>
      </c>
      <c r="B48" s="25">
        <f>'2_Cleaned_Data'!E47</f>
        <v>63630.21</v>
      </c>
      <c r="C48" s="26">
        <f>'2_Cleaned_Data'!F47</f>
        <v>4460</v>
      </c>
      <c r="D48" s="26">
        <f>'2_Cleaned_Data'!G47</f>
        <v>0.23499999999999999</v>
      </c>
      <c r="E48" s="26">
        <f>'2_Cleaned_Data'!I47</f>
        <v>98.6</v>
      </c>
      <c r="F48" s="26">
        <f>IF('2_Cleaned_Data'!D47="Airport",1,0)</f>
        <v>0</v>
      </c>
      <c r="G48" s="26">
        <f>IF('2_Cleaned_Data'!D47="High Street",1,0)</f>
        <v>0</v>
      </c>
      <c r="H48" s="26">
        <f>IF('2_Cleaned_Data'!D47="Mall",1,0)</f>
        <v>0</v>
      </c>
    </row>
    <row r="49" spans="1:8" x14ac:dyDescent="0.45">
      <c r="A49" s="25">
        <f>'2_Cleaned_Data'!M48</f>
        <v>614800.09</v>
      </c>
      <c r="B49" s="25">
        <f>'2_Cleaned_Data'!E48</f>
        <v>50043.65</v>
      </c>
      <c r="C49" s="26">
        <f>'2_Cleaned_Data'!F48</f>
        <v>3804</v>
      </c>
      <c r="D49" s="26">
        <f>'2_Cleaned_Data'!G48</f>
        <v>0.113</v>
      </c>
      <c r="E49" s="26">
        <f>'2_Cleaned_Data'!I48</f>
        <v>90.9</v>
      </c>
      <c r="F49" s="26">
        <f>IF('2_Cleaned_Data'!D48="Airport",1,0)</f>
        <v>0</v>
      </c>
      <c r="G49" s="26">
        <f>IF('2_Cleaned_Data'!D48="High Street",1,0)</f>
        <v>0</v>
      </c>
      <c r="H49" s="26">
        <f>IF('2_Cleaned_Data'!D48="Mall",1,0)</f>
        <v>0</v>
      </c>
    </row>
    <row r="50" spans="1:8" x14ac:dyDescent="0.45">
      <c r="A50" s="25">
        <f>'2_Cleaned_Data'!M49</f>
        <v>585365.73</v>
      </c>
      <c r="B50" s="25">
        <f>'2_Cleaned_Data'!E49</f>
        <v>42093.84</v>
      </c>
      <c r="C50" s="26">
        <f>'2_Cleaned_Data'!F49</f>
        <v>4074</v>
      </c>
      <c r="D50" s="26">
        <f>'2_Cleaned_Data'!G49</f>
        <v>0.155</v>
      </c>
      <c r="E50" s="26">
        <f>'2_Cleaned_Data'!I49</f>
        <v>88</v>
      </c>
      <c r="F50" s="26">
        <f>IF('2_Cleaned_Data'!D49="Airport",1,0)</f>
        <v>0</v>
      </c>
      <c r="G50" s="26">
        <f>IF('2_Cleaned_Data'!D49="High Street",1,0)</f>
        <v>0</v>
      </c>
      <c r="H50" s="26">
        <f>IF('2_Cleaned_Data'!D49="Mall",1,0)</f>
        <v>0</v>
      </c>
    </row>
    <row r="51" spans="1:8" x14ac:dyDescent="0.45">
      <c r="A51" s="25">
        <f>'2_Cleaned_Data'!M50</f>
        <v>622811.74</v>
      </c>
      <c r="B51" s="25">
        <f>'2_Cleaned_Data'!E50</f>
        <v>46624.05</v>
      </c>
      <c r="C51" s="26">
        <f>'2_Cleaned_Data'!F50</f>
        <v>5104</v>
      </c>
      <c r="D51" s="26">
        <f>'2_Cleaned_Data'!G50</f>
        <v>0.109</v>
      </c>
      <c r="E51" s="26">
        <f>'2_Cleaned_Data'!I50</f>
        <v>97.3</v>
      </c>
      <c r="F51" s="26">
        <f>IF('2_Cleaned_Data'!D50="Airport",1,0)</f>
        <v>0</v>
      </c>
      <c r="G51" s="26">
        <f>IF('2_Cleaned_Data'!D50="High Street",1,0)</f>
        <v>0</v>
      </c>
      <c r="H51" s="26">
        <f>IF('2_Cleaned_Data'!D50="Mall",1,0)</f>
        <v>1</v>
      </c>
    </row>
    <row r="52" spans="1:8" x14ac:dyDescent="0.45">
      <c r="A52" s="25">
        <f>'2_Cleaned_Data'!M51</f>
        <v>603297.56999999995</v>
      </c>
      <c r="B52" s="25">
        <f>'2_Cleaned_Data'!E51</f>
        <v>49710.29</v>
      </c>
      <c r="C52" s="26">
        <f>'2_Cleaned_Data'!F51</f>
        <v>5559</v>
      </c>
      <c r="D52" s="26">
        <f>'2_Cleaned_Data'!G51</f>
        <v>0.218</v>
      </c>
      <c r="E52" s="26">
        <f>'2_Cleaned_Data'!I51</f>
        <v>71</v>
      </c>
      <c r="F52" s="26">
        <f>IF('2_Cleaned_Data'!D51="Airport",1,0)</f>
        <v>0</v>
      </c>
      <c r="G52" s="26">
        <f>IF('2_Cleaned_Data'!D51="High Street",1,0)</f>
        <v>0</v>
      </c>
      <c r="H52" s="26">
        <f>IF('2_Cleaned_Data'!D51="Mall",1,0)</f>
        <v>1</v>
      </c>
    </row>
    <row r="53" spans="1:8" x14ac:dyDescent="0.45">
      <c r="A53" s="25">
        <f>'2_Cleaned_Data'!M52</f>
        <v>625672.86</v>
      </c>
      <c r="B53" s="25">
        <f>'2_Cleaned_Data'!E52</f>
        <v>48287.85</v>
      </c>
      <c r="C53" s="26">
        <f>'2_Cleaned_Data'!F52</f>
        <v>5150</v>
      </c>
      <c r="D53" s="26">
        <f>'2_Cleaned_Data'!G52</f>
        <v>8.0000000000000002E-3</v>
      </c>
      <c r="E53" s="26">
        <f>'2_Cleaned_Data'!I52</f>
        <v>80.400000000000006</v>
      </c>
      <c r="F53" s="26">
        <f>IF('2_Cleaned_Data'!D52="Airport",1,0)</f>
        <v>0</v>
      </c>
      <c r="G53" s="26">
        <f>IF('2_Cleaned_Data'!D52="High Street",1,0)</f>
        <v>0</v>
      </c>
      <c r="H53" s="26">
        <f>IF('2_Cleaned_Data'!D52="Mall",1,0)</f>
        <v>1</v>
      </c>
    </row>
    <row r="54" spans="1:8" x14ac:dyDescent="0.45">
      <c r="A54" s="25">
        <f>'2_Cleaned_Data'!M53</f>
        <v>773815.14</v>
      </c>
      <c r="B54" s="25">
        <f>'2_Cleaned_Data'!E53</f>
        <v>65312.49</v>
      </c>
      <c r="C54" s="26">
        <f>'2_Cleaned_Data'!F53</f>
        <v>7189</v>
      </c>
      <c r="D54" s="26">
        <f>'2_Cleaned_Data'!G53</f>
        <v>0.05</v>
      </c>
      <c r="E54" s="26">
        <f>'2_Cleaned_Data'!I53</f>
        <v>93.7</v>
      </c>
      <c r="F54" s="26">
        <f>IF('2_Cleaned_Data'!D53="Airport",1,0)</f>
        <v>0</v>
      </c>
      <c r="G54" s="26">
        <f>IF('2_Cleaned_Data'!D53="High Street",1,0)</f>
        <v>0</v>
      </c>
      <c r="H54" s="26">
        <f>IF('2_Cleaned_Data'!D53="Mall",1,0)</f>
        <v>1</v>
      </c>
    </row>
    <row r="55" spans="1:8" x14ac:dyDescent="0.45">
      <c r="A55" s="25">
        <f>'2_Cleaned_Data'!M54</f>
        <v>463534.25</v>
      </c>
      <c r="B55" s="25">
        <f>'2_Cleaned_Data'!E54</f>
        <v>53015.46</v>
      </c>
      <c r="C55" s="26">
        <f>'2_Cleaned_Data'!F54</f>
        <v>3279</v>
      </c>
      <c r="D55" s="26">
        <f>'2_Cleaned_Data'!G54</f>
        <v>8.6999999999999994E-2</v>
      </c>
      <c r="E55" s="26">
        <f>'2_Cleaned_Data'!I54</f>
        <v>84.3</v>
      </c>
      <c r="F55" s="26">
        <f>IF('2_Cleaned_Data'!D54="Airport",1,0)</f>
        <v>0</v>
      </c>
      <c r="G55" s="26">
        <f>IF('2_Cleaned_Data'!D54="High Street",1,0)</f>
        <v>1</v>
      </c>
      <c r="H55" s="26">
        <f>IF('2_Cleaned_Data'!D54="Mall",1,0)</f>
        <v>0</v>
      </c>
    </row>
    <row r="56" spans="1:8" x14ac:dyDescent="0.45">
      <c r="A56" s="25">
        <f>'2_Cleaned_Data'!M55</f>
        <v>746677.75</v>
      </c>
      <c r="B56" s="25">
        <f>'2_Cleaned_Data'!E55</f>
        <v>99874.01</v>
      </c>
      <c r="C56" s="26">
        <f>'2_Cleaned_Data'!F55</f>
        <v>5887</v>
      </c>
      <c r="D56" s="26">
        <f>'2_Cleaned_Data'!G55</f>
        <v>0.26200000000000001</v>
      </c>
      <c r="E56" s="26">
        <f>'2_Cleaned_Data'!I55</f>
        <v>88.7</v>
      </c>
      <c r="F56" s="26">
        <f>IF('2_Cleaned_Data'!D55="Airport",1,0)</f>
        <v>0</v>
      </c>
      <c r="G56" s="26">
        <f>IF('2_Cleaned_Data'!D55="High Street",1,0)</f>
        <v>1</v>
      </c>
      <c r="H56" s="26">
        <f>IF('2_Cleaned_Data'!D55="Mall",1,0)</f>
        <v>0</v>
      </c>
    </row>
    <row r="57" spans="1:8" x14ac:dyDescent="0.45">
      <c r="A57" s="25">
        <f>'2_Cleaned_Data'!M56</f>
        <v>720852.5</v>
      </c>
      <c r="B57" s="25">
        <f>'2_Cleaned_Data'!E56</f>
        <v>81195.5</v>
      </c>
      <c r="C57" s="26">
        <f>'2_Cleaned_Data'!F56</f>
        <v>5516</v>
      </c>
      <c r="D57" s="26">
        <f>'2_Cleaned_Data'!G56</f>
        <v>0.106</v>
      </c>
      <c r="E57" s="26">
        <f>'2_Cleaned_Data'!I56</f>
        <v>88</v>
      </c>
      <c r="F57" s="26">
        <f>IF('2_Cleaned_Data'!D56="Airport",1,0)</f>
        <v>0</v>
      </c>
      <c r="G57" s="26">
        <f>IF('2_Cleaned_Data'!D56="High Street",1,0)</f>
        <v>1</v>
      </c>
      <c r="H57" s="26">
        <f>IF('2_Cleaned_Data'!D56="Mall",1,0)</f>
        <v>0</v>
      </c>
    </row>
    <row r="58" spans="1:8" x14ac:dyDescent="0.45">
      <c r="A58" s="25">
        <f>'2_Cleaned_Data'!M57</f>
        <v>487464.91</v>
      </c>
      <c r="B58" s="25">
        <f>'2_Cleaned_Data'!E57</f>
        <v>27808.6</v>
      </c>
      <c r="C58" s="26">
        <f>'2_Cleaned_Data'!F57</f>
        <v>2863</v>
      </c>
      <c r="D58" s="26">
        <f>'2_Cleaned_Data'!G57</f>
        <v>0.08</v>
      </c>
      <c r="E58" s="26">
        <f>'2_Cleaned_Data'!I57</f>
        <v>89.3</v>
      </c>
      <c r="F58" s="26">
        <f>IF('2_Cleaned_Data'!D57="Airport",1,0)</f>
        <v>0</v>
      </c>
      <c r="G58" s="26">
        <f>IF('2_Cleaned_Data'!D57="High Street",1,0)</f>
        <v>1</v>
      </c>
      <c r="H58" s="26">
        <f>IF('2_Cleaned_Data'!D57="Mall",1,0)</f>
        <v>0</v>
      </c>
    </row>
    <row r="59" spans="1:8" x14ac:dyDescent="0.45">
      <c r="A59" s="25">
        <f>'2_Cleaned_Data'!M58</f>
        <v>518049.26</v>
      </c>
      <c r="B59" s="25">
        <f>'2_Cleaned_Data'!E58</f>
        <v>19365.060000000001</v>
      </c>
      <c r="C59" s="26">
        <f>'2_Cleaned_Data'!F58</f>
        <v>2378</v>
      </c>
      <c r="D59" s="26">
        <f>'2_Cleaned_Data'!G58</f>
        <v>0</v>
      </c>
      <c r="E59" s="26">
        <f>'2_Cleaned_Data'!I58</f>
        <v>94.8</v>
      </c>
      <c r="F59" s="26">
        <f>IF('2_Cleaned_Data'!D58="Airport",1,0)</f>
        <v>1</v>
      </c>
      <c r="G59" s="26">
        <f>IF('2_Cleaned_Data'!D58="High Street",1,0)</f>
        <v>0</v>
      </c>
      <c r="H59" s="26">
        <f>IF('2_Cleaned_Data'!D58="Mall",1,0)</f>
        <v>0</v>
      </c>
    </row>
    <row r="60" spans="1:8" x14ac:dyDescent="0.45">
      <c r="A60" s="25">
        <f>'2_Cleaned_Data'!M59</f>
        <v>500298.48</v>
      </c>
      <c r="B60" s="25">
        <f>'2_Cleaned_Data'!E59</f>
        <v>59405.68</v>
      </c>
      <c r="C60" s="26">
        <f>'2_Cleaned_Data'!F59</f>
        <v>2515</v>
      </c>
      <c r="D60" s="26">
        <f>'2_Cleaned_Data'!G59</f>
        <v>3.9E-2</v>
      </c>
      <c r="E60" s="26">
        <f>'2_Cleaned_Data'!I59</f>
        <v>76</v>
      </c>
      <c r="F60" s="26">
        <f>IF('2_Cleaned_Data'!D59="Airport",1,0)</f>
        <v>1</v>
      </c>
      <c r="G60" s="26">
        <f>IF('2_Cleaned_Data'!D59="High Street",1,0)</f>
        <v>0</v>
      </c>
      <c r="H60" s="26">
        <f>IF('2_Cleaned_Data'!D59="Mall",1,0)</f>
        <v>0</v>
      </c>
    </row>
    <row r="61" spans="1:8" x14ac:dyDescent="0.45">
      <c r="A61" s="25">
        <f>'2_Cleaned_Data'!M60</f>
        <v>617291.15</v>
      </c>
      <c r="B61" s="25">
        <f>'2_Cleaned_Data'!E60</f>
        <v>118910.48</v>
      </c>
      <c r="C61" s="26">
        <f>'2_Cleaned_Data'!F60</f>
        <v>4022</v>
      </c>
      <c r="D61" s="26">
        <f>'2_Cleaned_Data'!G60</f>
        <v>0.13700000000000001</v>
      </c>
      <c r="E61" s="26">
        <f>'2_Cleaned_Data'!I60</f>
        <v>87.1</v>
      </c>
      <c r="F61" s="26">
        <f>IF('2_Cleaned_Data'!D60="Airport",1,0)</f>
        <v>1</v>
      </c>
      <c r="G61" s="26">
        <f>IF('2_Cleaned_Data'!D60="High Street",1,0)</f>
        <v>0</v>
      </c>
      <c r="H61" s="26">
        <f>IF('2_Cleaned_Data'!D60="Mall",1,0)</f>
        <v>0</v>
      </c>
    </row>
    <row r="62" spans="1:8" x14ac:dyDescent="0.45">
      <c r="A62" s="25">
        <f>'2_Cleaned_Data'!M61</f>
        <v>553756.43000000005</v>
      </c>
      <c r="B62" s="25">
        <f>'2_Cleaned_Data'!E61</f>
        <v>52952.12</v>
      </c>
      <c r="C62" s="26">
        <f>'2_Cleaned_Data'!F61</f>
        <v>4377</v>
      </c>
      <c r="D62" s="26">
        <f>'2_Cleaned_Data'!G61</f>
        <v>9.1999999999999998E-2</v>
      </c>
      <c r="E62" s="26">
        <f>'2_Cleaned_Data'!I61</f>
        <v>88.6</v>
      </c>
      <c r="F62" s="26">
        <f>IF('2_Cleaned_Data'!D61="Airport",1,0)</f>
        <v>1</v>
      </c>
      <c r="G62" s="26">
        <f>IF('2_Cleaned_Data'!D61="High Street",1,0)</f>
        <v>0</v>
      </c>
      <c r="H62" s="26">
        <f>IF('2_Cleaned_Data'!D61="Mall",1,0)</f>
        <v>0</v>
      </c>
    </row>
    <row r="63" spans="1:8" x14ac:dyDescent="0.45">
      <c r="A63" s="25">
        <f>'2_Cleaned_Data'!M62</f>
        <v>749559.71</v>
      </c>
      <c r="B63" s="25">
        <f>'2_Cleaned_Data'!E62</f>
        <v>74907.98</v>
      </c>
      <c r="C63" s="26">
        <f>'2_Cleaned_Data'!F62</f>
        <v>5306</v>
      </c>
      <c r="D63" s="26">
        <f>'2_Cleaned_Data'!G62</f>
        <v>6.2E-2</v>
      </c>
      <c r="E63" s="26">
        <f>'2_Cleaned_Data'!I62</f>
        <v>95.6</v>
      </c>
      <c r="F63" s="26">
        <f>IF('2_Cleaned_Data'!D62="Airport",1,0)</f>
        <v>0</v>
      </c>
      <c r="G63" s="26">
        <f>IF('2_Cleaned_Data'!D62="High Street",1,0)</f>
        <v>1</v>
      </c>
      <c r="H63" s="26">
        <f>IF('2_Cleaned_Data'!D62="Mall",1,0)</f>
        <v>0</v>
      </c>
    </row>
    <row r="64" spans="1:8" x14ac:dyDescent="0.45">
      <c r="A64" s="25">
        <f>'2_Cleaned_Data'!M63</f>
        <v>615966.48</v>
      </c>
      <c r="B64" s="25">
        <f>'2_Cleaned_Data'!E63</f>
        <v>37284.660000000003</v>
      </c>
      <c r="C64" s="26">
        <f>'2_Cleaned_Data'!F63</f>
        <v>3928</v>
      </c>
      <c r="D64" s="26">
        <f>'2_Cleaned_Data'!G63</f>
        <v>7.3999999999999996E-2</v>
      </c>
      <c r="E64" s="26">
        <f>'2_Cleaned_Data'!I63</f>
        <v>86.5</v>
      </c>
      <c r="F64" s="26">
        <f>IF('2_Cleaned_Data'!D63="Airport",1,0)</f>
        <v>0</v>
      </c>
      <c r="G64" s="26">
        <f>IF('2_Cleaned_Data'!D63="High Street",1,0)</f>
        <v>1</v>
      </c>
      <c r="H64" s="26">
        <f>IF('2_Cleaned_Data'!D63="Mall",1,0)</f>
        <v>0</v>
      </c>
    </row>
    <row r="65" spans="1:8" x14ac:dyDescent="0.45">
      <c r="A65" s="25">
        <f>'2_Cleaned_Data'!M64</f>
        <v>572011.19999999995</v>
      </c>
      <c r="B65" s="25">
        <f>'2_Cleaned_Data'!E64</f>
        <v>50343.19</v>
      </c>
      <c r="C65" s="26">
        <f>'2_Cleaned_Data'!F64</f>
        <v>3845</v>
      </c>
      <c r="D65" s="26">
        <f>'2_Cleaned_Data'!G64</f>
        <v>0.113</v>
      </c>
      <c r="E65" s="26">
        <f>'2_Cleaned_Data'!I64</f>
        <v>88.7</v>
      </c>
      <c r="F65" s="26">
        <f>IF('2_Cleaned_Data'!D64="Airport",1,0)</f>
        <v>0</v>
      </c>
      <c r="G65" s="26">
        <f>IF('2_Cleaned_Data'!D64="High Street",1,0)</f>
        <v>1</v>
      </c>
      <c r="H65" s="26">
        <f>IF('2_Cleaned_Data'!D64="Mall",1,0)</f>
        <v>0</v>
      </c>
    </row>
    <row r="66" spans="1:8" x14ac:dyDescent="0.45">
      <c r="A66" s="25">
        <f>'2_Cleaned_Data'!M65</f>
        <v>761860.19</v>
      </c>
      <c r="B66" s="25">
        <f>'2_Cleaned_Data'!E65</f>
        <v>74954.47</v>
      </c>
      <c r="C66" s="26">
        <f>'2_Cleaned_Data'!F65</f>
        <v>6620</v>
      </c>
      <c r="D66" s="26">
        <f>'2_Cleaned_Data'!G65</f>
        <v>5.3999999999999999E-2</v>
      </c>
      <c r="E66" s="26">
        <f>'2_Cleaned_Data'!I65</f>
        <v>91.1</v>
      </c>
      <c r="F66" s="26">
        <f>IF('2_Cleaned_Data'!D65="Airport",1,0)</f>
        <v>0</v>
      </c>
      <c r="G66" s="26">
        <f>IF('2_Cleaned_Data'!D65="High Street",1,0)</f>
        <v>1</v>
      </c>
      <c r="H66" s="26">
        <f>IF('2_Cleaned_Data'!D65="Mall",1,0)</f>
        <v>0</v>
      </c>
    </row>
    <row r="67" spans="1:8" x14ac:dyDescent="0.45">
      <c r="A67" s="25">
        <f>'2_Cleaned_Data'!M66</f>
        <v>784502.68</v>
      </c>
      <c r="B67" s="25">
        <f>'2_Cleaned_Data'!E66</f>
        <v>70040.31</v>
      </c>
      <c r="C67" s="26">
        <f>'2_Cleaned_Data'!F66</f>
        <v>9175</v>
      </c>
      <c r="D67" s="26">
        <f>'2_Cleaned_Data'!G66</f>
        <v>0.107</v>
      </c>
      <c r="E67" s="26">
        <f>'2_Cleaned_Data'!I66</f>
        <v>95.1</v>
      </c>
      <c r="F67" s="26">
        <f>IF('2_Cleaned_Data'!D66="Airport",1,0)</f>
        <v>0</v>
      </c>
      <c r="G67" s="26">
        <f>IF('2_Cleaned_Data'!D66="High Street",1,0)</f>
        <v>1</v>
      </c>
      <c r="H67" s="26">
        <f>IF('2_Cleaned_Data'!D66="Mall",1,0)</f>
        <v>0</v>
      </c>
    </row>
    <row r="68" spans="1:8" x14ac:dyDescent="0.45">
      <c r="A68" s="25">
        <f>'2_Cleaned_Data'!M67</f>
        <v>717141.55</v>
      </c>
      <c r="B68" s="25">
        <f>'2_Cleaned_Data'!E67</f>
        <v>51148.69</v>
      </c>
      <c r="C68" s="26">
        <f>'2_Cleaned_Data'!F67</f>
        <v>7940</v>
      </c>
      <c r="D68" s="26">
        <f>'2_Cleaned_Data'!G67</f>
        <v>0.156</v>
      </c>
      <c r="E68" s="26">
        <f>'2_Cleaned_Data'!I67</f>
        <v>93.3</v>
      </c>
      <c r="F68" s="26">
        <f>IF('2_Cleaned_Data'!D67="Airport",1,0)</f>
        <v>0</v>
      </c>
      <c r="G68" s="26">
        <f>IF('2_Cleaned_Data'!D67="High Street",1,0)</f>
        <v>1</v>
      </c>
      <c r="H68" s="26">
        <f>IF('2_Cleaned_Data'!D67="Mall",1,0)</f>
        <v>0</v>
      </c>
    </row>
    <row r="69" spans="1:8" x14ac:dyDescent="0.45">
      <c r="A69" s="25">
        <f>'2_Cleaned_Data'!M68</f>
        <v>685379.08</v>
      </c>
      <c r="B69" s="25">
        <f>'2_Cleaned_Data'!E68</f>
        <v>79346.100000000006</v>
      </c>
      <c r="C69" s="26">
        <f>'2_Cleaned_Data'!F68</f>
        <v>9628</v>
      </c>
      <c r="D69" s="26">
        <f>'2_Cleaned_Data'!G68</f>
        <v>0.10199999999999999</v>
      </c>
      <c r="E69" s="26">
        <f>'2_Cleaned_Data'!I68</f>
        <v>99</v>
      </c>
      <c r="F69" s="26">
        <f>IF('2_Cleaned_Data'!D68="Airport",1,0)</f>
        <v>0</v>
      </c>
      <c r="G69" s="26">
        <f>IF('2_Cleaned_Data'!D68="High Street",1,0)</f>
        <v>1</v>
      </c>
      <c r="H69" s="26">
        <f>IF('2_Cleaned_Data'!D68="Mall",1,0)</f>
        <v>0</v>
      </c>
    </row>
    <row r="70" spans="1:8" x14ac:dyDescent="0.45">
      <c r="A70" s="25">
        <f>'2_Cleaned_Data'!M69</f>
        <v>740496.65</v>
      </c>
      <c r="B70" s="25">
        <f>'2_Cleaned_Data'!E69</f>
        <v>42018.400000000001</v>
      </c>
      <c r="C70" s="26">
        <f>'2_Cleaned_Data'!F69</f>
        <v>8296</v>
      </c>
      <c r="D70" s="26">
        <f>'2_Cleaned_Data'!G69</f>
        <v>0.115</v>
      </c>
      <c r="E70" s="26">
        <f>'2_Cleaned_Data'!I69</f>
        <v>91.8</v>
      </c>
      <c r="F70" s="26">
        <f>IF('2_Cleaned_Data'!D69="Airport",1,0)</f>
        <v>0</v>
      </c>
      <c r="G70" s="26">
        <f>IF('2_Cleaned_Data'!D69="High Street",1,0)</f>
        <v>1</v>
      </c>
      <c r="H70" s="26">
        <f>IF('2_Cleaned_Data'!D69="Mall",1,0)</f>
        <v>0</v>
      </c>
    </row>
    <row r="71" spans="1:8" x14ac:dyDescent="0.45">
      <c r="A71" s="25">
        <f>'2_Cleaned_Data'!M70</f>
        <v>661927.14</v>
      </c>
      <c r="B71" s="25">
        <f>'2_Cleaned_Data'!E70</f>
        <v>70937.240000000005</v>
      </c>
      <c r="C71" s="26">
        <f>'2_Cleaned_Data'!F70</f>
        <v>3595</v>
      </c>
      <c r="D71" s="26">
        <f>'2_Cleaned_Data'!G70</f>
        <v>0.14099999999999999</v>
      </c>
      <c r="E71" s="26">
        <f>'2_Cleaned_Data'!I70</f>
        <v>88.9</v>
      </c>
      <c r="F71" s="26">
        <f>IF('2_Cleaned_Data'!D70="Airport",1,0)</f>
        <v>0</v>
      </c>
      <c r="G71" s="26">
        <f>IF('2_Cleaned_Data'!D70="High Street",1,0)</f>
        <v>1</v>
      </c>
      <c r="H71" s="26">
        <f>IF('2_Cleaned_Data'!D70="Mall",1,0)</f>
        <v>0</v>
      </c>
    </row>
    <row r="72" spans="1:8" x14ac:dyDescent="0.45">
      <c r="A72" s="25">
        <f>'2_Cleaned_Data'!M71</f>
        <v>479050.5</v>
      </c>
      <c r="B72" s="25">
        <f>'2_Cleaned_Data'!E71</f>
        <v>36813.449999999997</v>
      </c>
      <c r="C72" s="26">
        <f>'2_Cleaned_Data'!F71</f>
        <v>2834</v>
      </c>
      <c r="D72" s="26">
        <f>'2_Cleaned_Data'!G71</f>
        <v>0.191</v>
      </c>
      <c r="E72" s="26">
        <f>'2_Cleaned_Data'!I71</f>
        <v>81.8</v>
      </c>
      <c r="F72" s="26">
        <f>IF('2_Cleaned_Data'!D71="Airport",1,0)</f>
        <v>0</v>
      </c>
      <c r="G72" s="26">
        <f>IF('2_Cleaned_Data'!D71="High Street",1,0)</f>
        <v>1</v>
      </c>
      <c r="H72" s="26">
        <f>IF('2_Cleaned_Data'!D71="Mall",1,0)</f>
        <v>0</v>
      </c>
    </row>
    <row r="73" spans="1:8" x14ac:dyDescent="0.45">
      <c r="A73" s="25">
        <f>'2_Cleaned_Data'!M72</f>
        <v>605023.87</v>
      </c>
      <c r="B73" s="25">
        <f>'2_Cleaned_Data'!E72</f>
        <v>60571.82</v>
      </c>
      <c r="C73" s="26">
        <f>'2_Cleaned_Data'!F72</f>
        <v>3193</v>
      </c>
      <c r="D73" s="26">
        <f>'2_Cleaned_Data'!G72</f>
        <v>0.19700000000000001</v>
      </c>
      <c r="E73" s="26">
        <f>'2_Cleaned_Data'!I72</f>
        <v>99</v>
      </c>
      <c r="F73" s="26">
        <f>IF('2_Cleaned_Data'!D72="Airport",1,0)</f>
        <v>0</v>
      </c>
      <c r="G73" s="26">
        <f>IF('2_Cleaned_Data'!D72="High Street",1,0)</f>
        <v>1</v>
      </c>
      <c r="H73" s="26">
        <f>IF('2_Cleaned_Data'!D72="Mall",1,0)</f>
        <v>0</v>
      </c>
    </row>
    <row r="74" spans="1:8" x14ac:dyDescent="0.45">
      <c r="A74" s="25">
        <f>'2_Cleaned_Data'!M73</f>
        <v>616069.41</v>
      </c>
      <c r="B74" s="25">
        <f>'2_Cleaned_Data'!E73</f>
        <v>46201.46</v>
      </c>
      <c r="C74" s="26">
        <f>'2_Cleaned_Data'!F73</f>
        <v>5918</v>
      </c>
      <c r="D74" s="26">
        <f>'2_Cleaned_Data'!G73</f>
        <v>0.27700000000000002</v>
      </c>
      <c r="E74" s="26">
        <f>'2_Cleaned_Data'!I73</f>
        <v>78.8</v>
      </c>
      <c r="F74" s="26">
        <f>IF('2_Cleaned_Data'!D73="Airport",1,0)</f>
        <v>0</v>
      </c>
      <c r="G74" s="26">
        <f>IF('2_Cleaned_Data'!D73="High Street",1,0)</f>
        <v>0</v>
      </c>
      <c r="H74" s="26">
        <f>IF('2_Cleaned_Data'!D73="Mall",1,0)</f>
        <v>0</v>
      </c>
    </row>
    <row r="75" spans="1:8" x14ac:dyDescent="0.45">
      <c r="A75" s="25">
        <f>'2_Cleaned_Data'!M74</f>
        <v>630829.93999999994</v>
      </c>
      <c r="B75" s="25">
        <f>'2_Cleaned_Data'!E74</f>
        <v>53762.92</v>
      </c>
      <c r="C75" s="26">
        <f>'2_Cleaned_Data'!F74</f>
        <v>6821</v>
      </c>
      <c r="D75" s="26">
        <f>'2_Cleaned_Data'!G74</f>
        <v>6.6000000000000003E-2</v>
      </c>
      <c r="E75" s="26">
        <f>'2_Cleaned_Data'!I74</f>
        <v>94.6</v>
      </c>
      <c r="F75" s="26">
        <f>IF('2_Cleaned_Data'!D74="Airport",1,0)</f>
        <v>0</v>
      </c>
      <c r="G75" s="26">
        <f>IF('2_Cleaned_Data'!D74="High Street",1,0)</f>
        <v>0</v>
      </c>
      <c r="H75" s="26">
        <f>IF('2_Cleaned_Data'!D74="Mall",1,0)</f>
        <v>0</v>
      </c>
    </row>
    <row r="76" spans="1:8" x14ac:dyDescent="0.45">
      <c r="A76" s="25">
        <f>'2_Cleaned_Data'!M75</f>
        <v>788087.68</v>
      </c>
      <c r="B76" s="25">
        <f>'2_Cleaned_Data'!E75</f>
        <v>70144.78</v>
      </c>
      <c r="C76" s="26">
        <f>'2_Cleaned_Data'!F75</f>
        <v>6806</v>
      </c>
      <c r="D76" s="26">
        <f>'2_Cleaned_Data'!G75</f>
        <v>0.17799999999999999</v>
      </c>
      <c r="E76" s="26">
        <f>'2_Cleaned_Data'!I75</f>
        <v>93.1</v>
      </c>
      <c r="F76" s="26">
        <f>IF('2_Cleaned_Data'!D75="Airport",1,0)</f>
        <v>0</v>
      </c>
      <c r="G76" s="26">
        <f>IF('2_Cleaned_Data'!D75="High Street",1,0)</f>
        <v>0</v>
      </c>
      <c r="H76" s="26">
        <f>IF('2_Cleaned_Data'!D75="Mall",1,0)</f>
        <v>0</v>
      </c>
    </row>
    <row r="77" spans="1:8" x14ac:dyDescent="0.45">
      <c r="A77" s="25">
        <f>'2_Cleaned_Data'!M76</f>
        <v>680840.36</v>
      </c>
      <c r="B77" s="25">
        <f>'2_Cleaned_Data'!E76</f>
        <v>58749.63</v>
      </c>
      <c r="C77" s="26">
        <f>'2_Cleaned_Data'!F76</f>
        <v>8252</v>
      </c>
      <c r="D77" s="26">
        <f>'2_Cleaned_Data'!G76</f>
        <v>0.20300000000000001</v>
      </c>
      <c r="E77" s="26">
        <f>'2_Cleaned_Data'!I76</f>
        <v>85.2</v>
      </c>
      <c r="F77" s="26">
        <f>IF('2_Cleaned_Data'!D76="Airport",1,0)</f>
        <v>0</v>
      </c>
      <c r="G77" s="26">
        <f>IF('2_Cleaned_Data'!D76="High Street",1,0)</f>
        <v>0</v>
      </c>
      <c r="H77" s="26">
        <f>IF('2_Cleaned_Data'!D76="Mall",1,0)</f>
        <v>0</v>
      </c>
    </row>
    <row r="78" spans="1:8" x14ac:dyDescent="0.45">
      <c r="A78" s="25">
        <f>'2_Cleaned_Data'!M77</f>
        <v>643657.47</v>
      </c>
      <c r="B78" s="25">
        <f>'2_Cleaned_Data'!E77</f>
        <v>56973.18</v>
      </c>
      <c r="C78" s="26">
        <f>'2_Cleaned_Data'!F77</f>
        <v>6662</v>
      </c>
      <c r="D78" s="26">
        <f>'2_Cleaned_Data'!G77</f>
        <v>0.1</v>
      </c>
      <c r="E78" s="26">
        <f>'2_Cleaned_Data'!I77</f>
        <v>77.7</v>
      </c>
      <c r="F78" s="26">
        <f>IF('2_Cleaned_Data'!D77="Airport",1,0)</f>
        <v>0</v>
      </c>
      <c r="G78" s="26">
        <f>IF('2_Cleaned_Data'!D77="High Street",1,0)</f>
        <v>1</v>
      </c>
      <c r="H78" s="26">
        <f>IF('2_Cleaned_Data'!D77="Mall",1,0)</f>
        <v>0</v>
      </c>
    </row>
    <row r="79" spans="1:8" x14ac:dyDescent="0.45">
      <c r="A79" s="25">
        <f>'2_Cleaned_Data'!M78</f>
        <v>691112.6</v>
      </c>
      <c r="B79" s="25">
        <f>'2_Cleaned_Data'!E78</f>
        <v>54872.82</v>
      </c>
      <c r="C79" s="26">
        <f>'2_Cleaned_Data'!F78</f>
        <v>5962</v>
      </c>
      <c r="D79" s="26">
        <f>'2_Cleaned_Data'!G78</f>
        <v>6.4000000000000001E-2</v>
      </c>
      <c r="E79" s="26">
        <f>'2_Cleaned_Data'!I78</f>
        <v>85.4</v>
      </c>
      <c r="F79" s="26">
        <f>IF('2_Cleaned_Data'!D78="Airport",1,0)</f>
        <v>0</v>
      </c>
      <c r="G79" s="26">
        <f>IF('2_Cleaned_Data'!D78="High Street",1,0)</f>
        <v>1</v>
      </c>
      <c r="H79" s="26">
        <f>IF('2_Cleaned_Data'!D78="Mall",1,0)</f>
        <v>0</v>
      </c>
    </row>
    <row r="80" spans="1:8" x14ac:dyDescent="0.45">
      <c r="A80" s="25">
        <f>'2_Cleaned_Data'!M79</f>
        <v>776922.17</v>
      </c>
      <c r="B80" s="25">
        <f>'2_Cleaned_Data'!E79</f>
        <v>80562.81</v>
      </c>
      <c r="C80" s="26">
        <f>'2_Cleaned_Data'!F79</f>
        <v>7470</v>
      </c>
      <c r="D80" s="26">
        <f>'2_Cleaned_Data'!G79</f>
        <v>0.17199999999999999</v>
      </c>
      <c r="E80" s="26">
        <f>'2_Cleaned_Data'!I79</f>
        <v>83.5</v>
      </c>
      <c r="F80" s="26">
        <f>IF('2_Cleaned_Data'!D79="Airport",1,0)</f>
        <v>0</v>
      </c>
      <c r="G80" s="26">
        <f>IF('2_Cleaned_Data'!D79="High Street",1,0)</f>
        <v>1</v>
      </c>
      <c r="H80" s="26">
        <f>IF('2_Cleaned_Data'!D79="Mall",1,0)</f>
        <v>0</v>
      </c>
    </row>
    <row r="81" spans="1:8" x14ac:dyDescent="0.45">
      <c r="A81" s="25">
        <f>'2_Cleaned_Data'!M80</f>
        <v>636561.34</v>
      </c>
      <c r="B81" s="25">
        <f>'2_Cleaned_Data'!E80</f>
        <v>77999.899999999994</v>
      </c>
      <c r="C81" s="26">
        <f>'2_Cleaned_Data'!F80</f>
        <v>5974</v>
      </c>
      <c r="D81" s="26">
        <f>'2_Cleaned_Data'!G80</f>
        <v>0.252</v>
      </c>
      <c r="E81" s="26">
        <f>'2_Cleaned_Data'!I80</f>
        <v>81.3</v>
      </c>
      <c r="F81" s="26">
        <f>IF('2_Cleaned_Data'!D80="Airport",1,0)</f>
        <v>0</v>
      </c>
      <c r="G81" s="26">
        <f>IF('2_Cleaned_Data'!D80="High Street",1,0)</f>
        <v>1</v>
      </c>
      <c r="H81" s="26">
        <f>IF('2_Cleaned_Data'!D80="Mall",1,0)</f>
        <v>0</v>
      </c>
    </row>
    <row r="82" spans="1:8" x14ac:dyDescent="0.45">
      <c r="A82" s="25">
        <f>'2_Cleaned_Data'!M81</f>
        <v>621369.57999999996</v>
      </c>
      <c r="B82" s="25">
        <f>'2_Cleaned_Data'!E81</f>
        <v>60881.01</v>
      </c>
      <c r="C82" s="26">
        <f>'2_Cleaned_Data'!F81</f>
        <v>5410</v>
      </c>
      <c r="D82" s="26">
        <f>'2_Cleaned_Data'!G81</f>
        <v>0.17899999999999999</v>
      </c>
      <c r="E82" s="26">
        <f>'2_Cleaned_Data'!I81</f>
        <v>83.9</v>
      </c>
      <c r="F82" s="26">
        <f>IF('2_Cleaned_Data'!D81="Airport",1,0)</f>
        <v>0</v>
      </c>
      <c r="G82" s="26">
        <f>IF('2_Cleaned_Data'!D81="High Street",1,0)</f>
        <v>0</v>
      </c>
      <c r="H82" s="26">
        <f>IF('2_Cleaned_Data'!D81="Mall",1,0)</f>
        <v>1</v>
      </c>
    </row>
    <row r="83" spans="1:8" x14ac:dyDescent="0.45">
      <c r="A83" s="25">
        <f>'2_Cleaned_Data'!M82</f>
        <v>682208.01</v>
      </c>
      <c r="B83" s="25">
        <f>'2_Cleaned_Data'!E82</f>
        <v>60628.38</v>
      </c>
      <c r="C83" s="26">
        <f>'2_Cleaned_Data'!F82</f>
        <v>4451</v>
      </c>
      <c r="D83" s="26">
        <f>'2_Cleaned_Data'!G82</f>
        <v>9.5000000000000001E-2</v>
      </c>
      <c r="E83" s="26">
        <f>'2_Cleaned_Data'!I82</f>
        <v>89.6</v>
      </c>
      <c r="F83" s="26">
        <f>IF('2_Cleaned_Data'!D82="Airport",1,0)</f>
        <v>0</v>
      </c>
      <c r="G83" s="26">
        <f>IF('2_Cleaned_Data'!D82="High Street",1,0)</f>
        <v>0</v>
      </c>
      <c r="H83" s="26">
        <f>IF('2_Cleaned_Data'!D82="Mall",1,0)</f>
        <v>1</v>
      </c>
    </row>
    <row r="84" spans="1:8" x14ac:dyDescent="0.45">
      <c r="A84" s="25">
        <f>'2_Cleaned_Data'!M83</f>
        <v>727241.86</v>
      </c>
      <c r="B84" s="25">
        <f>'2_Cleaned_Data'!E83</f>
        <v>72731.14</v>
      </c>
      <c r="C84" s="26">
        <f>'2_Cleaned_Data'!F83</f>
        <v>4644</v>
      </c>
      <c r="D84" s="26">
        <f>'2_Cleaned_Data'!G83</f>
        <v>8.4000000000000005E-2</v>
      </c>
      <c r="E84" s="26">
        <f>'2_Cleaned_Data'!I83</f>
        <v>87.1</v>
      </c>
      <c r="F84" s="26">
        <f>IF('2_Cleaned_Data'!D83="Airport",1,0)</f>
        <v>0</v>
      </c>
      <c r="G84" s="26">
        <f>IF('2_Cleaned_Data'!D83="High Street",1,0)</f>
        <v>0</v>
      </c>
      <c r="H84" s="26">
        <f>IF('2_Cleaned_Data'!D83="Mall",1,0)</f>
        <v>1</v>
      </c>
    </row>
    <row r="85" spans="1:8" x14ac:dyDescent="0.45">
      <c r="A85" s="25">
        <f>'2_Cleaned_Data'!M84</f>
        <v>569100.78</v>
      </c>
      <c r="B85" s="25">
        <f>'2_Cleaned_Data'!E84</f>
        <v>36475.71</v>
      </c>
      <c r="C85" s="26">
        <f>'2_Cleaned_Data'!F84</f>
        <v>3559</v>
      </c>
      <c r="D85" s="26">
        <f>'2_Cleaned_Data'!G84</f>
        <v>0.03</v>
      </c>
      <c r="E85" s="26">
        <f>'2_Cleaned_Data'!I84</f>
        <v>83.6</v>
      </c>
      <c r="F85" s="26">
        <f>IF('2_Cleaned_Data'!D84="Airport",1,0)</f>
        <v>0</v>
      </c>
      <c r="G85" s="26">
        <f>IF('2_Cleaned_Data'!D84="High Street",1,0)</f>
        <v>0</v>
      </c>
      <c r="H85" s="26">
        <f>IF('2_Cleaned_Data'!D84="Mall",1,0)</f>
        <v>1</v>
      </c>
    </row>
    <row r="86" spans="1:8" x14ac:dyDescent="0.45">
      <c r="A86" s="25">
        <f>'2_Cleaned_Data'!M85</f>
        <v>574436.29</v>
      </c>
      <c r="B86" s="25">
        <f>'2_Cleaned_Data'!E85</f>
        <v>55388.11</v>
      </c>
      <c r="C86" s="26">
        <f>'2_Cleaned_Data'!F85</f>
        <v>3091</v>
      </c>
      <c r="D86" s="26">
        <f>'2_Cleaned_Data'!G85</f>
        <v>0.108</v>
      </c>
      <c r="E86" s="26">
        <f>'2_Cleaned_Data'!I85</f>
        <v>85.4</v>
      </c>
      <c r="F86" s="26">
        <f>IF('2_Cleaned_Data'!D85="Airport",1,0)</f>
        <v>0</v>
      </c>
      <c r="G86" s="26">
        <f>IF('2_Cleaned_Data'!D85="High Street",1,0)</f>
        <v>1</v>
      </c>
      <c r="H86" s="26">
        <f>IF('2_Cleaned_Data'!D85="Mall",1,0)</f>
        <v>0</v>
      </c>
    </row>
    <row r="87" spans="1:8" x14ac:dyDescent="0.45">
      <c r="A87" s="25">
        <f>'2_Cleaned_Data'!M86</f>
        <v>614596.31999999995</v>
      </c>
      <c r="B87" s="25">
        <f>'2_Cleaned_Data'!E86</f>
        <v>78231.91</v>
      </c>
      <c r="C87" s="26">
        <f>'2_Cleaned_Data'!F86</f>
        <v>3788</v>
      </c>
      <c r="D87" s="26">
        <f>'2_Cleaned_Data'!G86</f>
        <v>5.8999999999999997E-2</v>
      </c>
      <c r="E87" s="26">
        <f>'2_Cleaned_Data'!I86</f>
        <v>88.5</v>
      </c>
      <c r="F87" s="26">
        <f>IF('2_Cleaned_Data'!D86="Airport",1,0)</f>
        <v>0</v>
      </c>
      <c r="G87" s="26">
        <f>IF('2_Cleaned_Data'!D86="High Street",1,0)</f>
        <v>1</v>
      </c>
      <c r="H87" s="26">
        <f>IF('2_Cleaned_Data'!D86="Mall",1,0)</f>
        <v>0</v>
      </c>
    </row>
    <row r="88" spans="1:8" x14ac:dyDescent="0.45">
      <c r="A88" s="25">
        <f>'2_Cleaned_Data'!M87</f>
        <v>450711.92</v>
      </c>
      <c r="B88" s="25">
        <f>'2_Cleaned_Data'!E87</f>
        <v>18996.32</v>
      </c>
      <c r="C88" s="26">
        <f>'2_Cleaned_Data'!F87</f>
        <v>1260</v>
      </c>
      <c r="D88" s="26">
        <f>'2_Cleaned_Data'!G87</f>
        <v>0.14499999999999999</v>
      </c>
      <c r="E88" s="26">
        <f>'2_Cleaned_Data'!I87</f>
        <v>86.4</v>
      </c>
      <c r="F88" s="26">
        <f>IF('2_Cleaned_Data'!D87="Airport",1,0)</f>
        <v>0</v>
      </c>
      <c r="G88" s="26">
        <f>IF('2_Cleaned_Data'!D87="High Street",1,0)</f>
        <v>1</v>
      </c>
      <c r="H88" s="26">
        <f>IF('2_Cleaned_Data'!D87="Mall",1,0)</f>
        <v>0</v>
      </c>
    </row>
    <row r="89" spans="1:8" x14ac:dyDescent="0.45">
      <c r="A89" s="25">
        <f>'2_Cleaned_Data'!M88</f>
        <v>711213.46</v>
      </c>
      <c r="B89" s="25">
        <f>'2_Cleaned_Data'!E88</f>
        <v>50517.94</v>
      </c>
      <c r="C89" s="26">
        <f>'2_Cleaned_Data'!F88</f>
        <v>7024</v>
      </c>
      <c r="D89" s="26">
        <f>'2_Cleaned_Data'!G88</f>
        <v>2.9000000000000001E-2</v>
      </c>
      <c r="E89" s="26">
        <f>'2_Cleaned_Data'!I88</f>
        <v>79.2</v>
      </c>
      <c r="F89" s="26">
        <f>IF('2_Cleaned_Data'!D88="Airport",1,0)</f>
        <v>0</v>
      </c>
      <c r="G89" s="26">
        <f>IF('2_Cleaned_Data'!D88="High Street",1,0)</f>
        <v>0</v>
      </c>
      <c r="H89" s="26">
        <f>IF('2_Cleaned_Data'!D88="Mall",1,0)</f>
        <v>1</v>
      </c>
    </row>
    <row r="90" spans="1:8" x14ac:dyDescent="0.45">
      <c r="A90" s="25">
        <f>'2_Cleaned_Data'!M89</f>
        <v>627171.9</v>
      </c>
      <c r="B90" s="25">
        <f>'2_Cleaned_Data'!E89</f>
        <v>141540.29</v>
      </c>
      <c r="C90" s="26">
        <f>'2_Cleaned_Data'!F89</f>
        <v>5400</v>
      </c>
      <c r="D90" s="26">
        <f>'2_Cleaned_Data'!G89</f>
        <v>1.2999999999999999E-2</v>
      </c>
      <c r="E90" s="26">
        <f>'2_Cleaned_Data'!I89</f>
        <v>87</v>
      </c>
      <c r="F90" s="26">
        <f>IF('2_Cleaned_Data'!D89="Airport",1,0)</f>
        <v>0</v>
      </c>
      <c r="G90" s="26">
        <f>IF('2_Cleaned_Data'!D89="High Street",1,0)</f>
        <v>0</v>
      </c>
      <c r="H90" s="26">
        <f>IF('2_Cleaned_Data'!D89="Mall",1,0)</f>
        <v>1</v>
      </c>
    </row>
    <row r="91" spans="1:8" x14ac:dyDescent="0.45">
      <c r="A91" s="25">
        <f>'2_Cleaned_Data'!M90</f>
        <v>739852.58</v>
      </c>
      <c r="B91" s="25">
        <f>'2_Cleaned_Data'!E90</f>
        <v>82116.19</v>
      </c>
      <c r="C91" s="26">
        <f>'2_Cleaned_Data'!F90</f>
        <v>5988</v>
      </c>
      <c r="D91" s="26">
        <f>'2_Cleaned_Data'!G90</f>
        <v>0.04</v>
      </c>
      <c r="E91" s="26">
        <f>'2_Cleaned_Data'!I90</f>
        <v>91.8</v>
      </c>
      <c r="F91" s="26">
        <f>IF('2_Cleaned_Data'!D90="Airport",1,0)</f>
        <v>0</v>
      </c>
      <c r="G91" s="26">
        <f>IF('2_Cleaned_Data'!D90="High Street",1,0)</f>
        <v>0</v>
      </c>
      <c r="H91" s="26">
        <f>IF('2_Cleaned_Data'!D90="Mall",1,0)</f>
        <v>1</v>
      </c>
    </row>
    <row r="92" spans="1:8" x14ac:dyDescent="0.45">
      <c r="A92" s="25">
        <f>'2_Cleaned_Data'!M91</f>
        <v>586307.22</v>
      </c>
      <c r="B92" s="25">
        <f>'2_Cleaned_Data'!E91</f>
        <v>31207.51</v>
      </c>
      <c r="C92" s="26">
        <f>'2_Cleaned_Data'!F91</f>
        <v>3701</v>
      </c>
      <c r="D92" s="26">
        <f>'2_Cleaned_Data'!G91</f>
        <v>4.2999999999999997E-2</v>
      </c>
      <c r="E92" s="26">
        <f>'2_Cleaned_Data'!I91</f>
        <v>84.7</v>
      </c>
      <c r="F92" s="26">
        <f>IF('2_Cleaned_Data'!D91="Airport",1,0)</f>
        <v>0</v>
      </c>
      <c r="G92" s="26">
        <f>IF('2_Cleaned_Data'!D91="High Street",1,0)</f>
        <v>0</v>
      </c>
      <c r="H92" s="26">
        <f>IF('2_Cleaned_Data'!D91="Mall",1,0)</f>
        <v>1</v>
      </c>
    </row>
    <row r="93" spans="1:8" x14ac:dyDescent="0.45">
      <c r="A93" s="25">
        <f>'2_Cleaned_Data'!M92</f>
        <v>585937.48</v>
      </c>
      <c r="B93" s="25">
        <f>'2_Cleaned_Data'!E92</f>
        <v>38966.589999999997</v>
      </c>
      <c r="C93" s="26">
        <f>'2_Cleaned_Data'!F92</f>
        <v>4509</v>
      </c>
      <c r="D93" s="26">
        <f>'2_Cleaned_Data'!G92</f>
        <v>0.19400000000000001</v>
      </c>
      <c r="E93" s="26">
        <f>'2_Cleaned_Data'!I92</f>
        <v>91.1</v>
      </c>
      <c r="F93" s="26">
        <f>IF('2_Cleaned_Data'!D92="Airport",1,0)</f>
        <v>0</v>
      </c>
      <c r="G93" s="26">
        <f>IF('2_Cleaned_Data'!D92="High Street",1,0)</f>
        <v>0</v>
      </c>
      <c r="H93" s="26">
        <f>IF('2_Cleaned_Data'!D92="Mall",1,0)</f>
        <v>0</v>
      </c>
    </row>
    <row r="94" spans="1:8" x14ac:dyDescent="0.45">
      <c r="A94" s="25">
        <f>'2_Cleaned_Data'!M93</f>
        <v>753473.55</v>
      </c>
      <c r="B94" s="25">
        <f>'2_Cleaned_Data'!E93</f>
        <v>67439.3</v>
      </c>
      <c r="C94" s="26">
        <f>'2_Cleaned_Data'!F93</f>
        <v>6477</v>
      </c>
      <c r="D94" s="26">
        <f>'2_Cleaned_Data'!G93</f>
        <v>0</v>
      </c>
      <c r="E94" s="26">
        <f>'2_Cleaned_Data'!I93</f>
        <v>90.9</v>
      </c>
      <c r="F94" s="26">
        <f>IF('2_Cleaned_Data'!D93="Airport",1,0)</f>
        <v>0</v>
      </c>
      <c r="G94" s="26">
        <f>IF('2_Cleaned_Data'!D93="High Street",1,0)</f>
        <v>0</v>
      </c>
      <c r="H94" s="26">
        <f>IF('2_Cleaned_Data'!D93="Mall",1,0)</f>
        <v>0</v>
      </c>
    </row>
    <row r="95" spans="1:8" x14ac:dyDescent="0.45">
      <c r="A95" s="25">
        <f>'2_Cleaned_Data'!M94</f>
        <v>838250.32</v>
      </c>
      <c r="B95" s="25">
        <f>'2_Cleaned_Data'!E94</f>
        <v>86421.88</v>
      </c>
      <c r="C95" s="26">
        <f>'2_Cleaned_Data'!F94</f>
        <v>7970</v>
      </c>
      <c r="D95" s="26">
        <f>'2_Cleaned_Data'!G94</f>
        <v>7.2999999999999995E-2</v>
      </c>
      <c r="E95" s="26">
        <f>'2_Cleaned_Data'!I94</f>
        <v>91.3</v>
      </c>
      <c r="F95" s="26">
        <f>IF('2_Cleaned_Data'!D94="Airport",1,0)</f>
        <v>0</v>
      </c>
      <c r="G95" s="26">
        <f>IF('2_Cleaned_Data'!D94="High Street",1,0)</f>
        <v>0</v>
      </c>
      <c r="H95" s="26">
        <f>IF('2_Cleaned_Data'!D94="Mall",1,0)</f>
        <v>0</v>
      </c>
    </row>
    <row r="96" spans="1:8" x14ac:dyDescent="0.45">
      <c r="A96" s="25">
        <f>'2_Cleaned_Data'!M95</f>
        <v>607898.12</v>
      </c>
      <c r="B96" s="25">
        <f>'2_Cleaned_Data'!E95</f>
        <v>9534.65</v>
      </c>
      <c r="C96" s="26">
        <f>'2_Cleaned_Data'!F95</f>
        <v>6057</v>
      </c>
      <c r="D96" s="26">
        <f>'2_Cleaned_Data'!G95</f>
        <v>7.3999999999999996E-2</v>
      </c>
      <c r="E96" s="26">
        <f>'2_Cleaned_Data'!I95</f>
        <v>94.1</v>
      </c>
      <c r="F96" s="26">
        <f>IF('2_Cleaned_Data'!D95="Airport",1,0)</f>
        <v>0</v>
      </c>
      <c r="G96" s="26">
        <f>IF('2_Cleaned_Data'!D95="High Street",1,0)</f>
        <v>0</v>
      </c>
      <c r="H96" s="26">
        <f>IF('2_Cleaned_Data'!D95="Mall",1,0)</f>
        <v>0</v>
      </c>
    </row>
    <row r="97" spans="1:8" x14ac:dyDescent="0.45">
      <c r="A97" s="25">
        <f>'2_Cleaned_Data'!M96</f>
        <v>691113.62</v>
      </c>
      <c r="B97" s="25">
        <f>'2_Cleaned_Data'!E96</f>
        <v>61132.07</v>
      </c>
      <c r="C97" s="26">
        <f>'2_Cleaned_Data'!F96</f>
        <v>6394</v>
      </c>
      <c r="D97" s="26">
        <f>'2_Cleaned_Data'!G96</f>
        <v>0.16300000000000001</v>
      </c>
      <c r="E97" s="26">
        <f>'2_Cleaned_Data'!I96</f>
        <v>91</v>
      </c>
      <c r="F97" s="26">
        <f>IF('2_Cleaned_Data'!D96="Airport",1,0)</f>
        <v>0</v>
      </c>
      <c r="G97" s="26">
        <f>IF('2_Cleaned_Data'!D96="High Street",1,0)</f>
        <v>0</v>
      </c>
      <c r="H97" s="26">
        <f>IF('2_Cleaned_Data'!D96="Mall",1,0)</f>
        <v>1</v>
      </c>
    </row>
    <row r="98" spans="1:8" x14ac:dyDescent="0.45">
      <c r="A98" s="25">
        <f>'2_Cleaned_Data'!M97</f>
        <v>735509.4</v>
      </c>
      <c r="B98" s="25">
        <f>'2_Cleaned_Data'!E97</f>
        <v>78839.39</v>
      </c>
      <c r="C98" s="26">
        <f>'2_Cleaned_Data'!F97</f>
        <v>5150</v>
      </c>
      <c r="D98" s="26">
        <f>'2_Cleaned_Data'!G97</f>
        <v>0.17100000000000001</v>
      </c>
      <c r="E98" s="26">
        <f>'2_Cleaned_Data'!I97</f>
        <v>85.8</v>
      </c>
      <c r="F98" s="26">
        <f>IF('2_Cleaned_Data'!D97="Airport",1,0)</f>
        <v>0</v>
      </c>
      <c r="G98" s="26">
        <f>IF('2_Cleaned_Data'!D97="High Street",1,0)</f>
        <v>0</v>
      </c>
      <c r="H98" s="26">
        <f>IF('2_Cleaned_Data'!D97="Mall",1,0)</f>
        <v>1</v>
      </c>
    </row>
    <row r="99" spans="1:8" x14ac:dyDescent="0.45">
      <c r="A99" s="25">
        <f>'2_Cleaned_Data'!M98</f>
        <v>675177.68</v>
      </c>
      <c r="B99" s="25">
        <f>'2_Cleaned_Data'!E98</f>
        <v>55101.1</v>
      </c>
      <c r="C99" s="26">
        <f>'2_Cleaned_Data'!F98</f>
        <v>5281</v>
      </c>
      <c r="D99" s="26">
        <f>'2_Cleaned_Data'!G98</f>
        <v>0.189</v>
      </c>
      <c r="E99" s="26">
        <f>'2_Cleaned_Data'!I98</f>
        <v>91</v>
      </c>
      <c r="F99" s="26">
        <f>IF('2_Cleaned_Data'!D98="Airport",1,0)</f>
        <v>0</v>
      </c>
      <c r="G99" s="26">
        <f>IF('2_Cleaned_Data'!D98="High Street",1,0)</f>
        <v>0</v>
      </c>
      <c r="H99" s="26">
        <f>IF('2_Cleaned_Data'!D98="Mall",1,0)</f>
        <v>1</v>
      </c>
    </row>
    <row r="100" spans="1:8" x14ac:dyDescent="0.45">
      <c r="A100" s="25">
        <f>'2_Cleaned_Data'!M99</f>
        <v>635181.35</v>
      </c>
      <c r="B100" s="25">
        <f>'2_Cleaned_Data'!E99</f>
        <v>53084.76</v>
      </c>
      <c r="C100" s="26">
        <f>'2_Cleaned_Data'!F99</f>
        <v>3642</v>
      </c>
      <c r="D100" s="26">
        <f>'2_Cleaned_Data'!G99</f>
        <v>0.15</v>
      </c>
      <c r="E100" s="26">
        <f>'2_Cleaned_Data'!I99</f>
        <v>91.4</v>
      </c>
      <c r="F100" s="26">
        <f>IF('2_Cleaned_Data'!D99="Airport",1,0)</f>
        <v>0</v>
      </c>
      <c r="G100" s="26">
        <f>IF('2_Cleaned_Data'!D99="High Street",1,0)</f>
        <v>0</v>
      </c>
      <c r="H100" s="26">
        <f>IF('2_Cleaned_Data'!D99="Mall",1,0)</f>
        <v>1</v>
      </c>
    </row>
    <row r="101" spans="1:8" x14ac:dyDescent="0.45">
      <c r="A101" s="25">
        <f>'2_Cleaned_Data'!M100</f>
        <v>586626.93999999994</v>
      </c>
      <c r="B101" s="25">
        <f>'2_Cleaned_Data'!E100</f>
        <v>63101.59</v>
      </c>
      <c r="C101" s="26">
        <f>'2_Cleaned_Data'!F100</f>
        <v>4373</v>
      </c>
      <c r="D101" s="26">
        <f>'2_Cleaned_Data'!G100</f>
        <v>0.17299999999999999</v>
      </c>
      <c r="E101" s="26">
        <f>'2_Cleaned_Data'!I100</f>
        <v>90.4</v>
      </c>
      <c r="F101" s="26">
        <f>IF('2_Cleaned_Data'!D100="Airport",1,0)</f>
        <v>0</v>
      </c>
      <c r="G101" s="26">
        <f>IF('2_Cleaned_Data'!D100="High Street",1,0)</f>
        <v>0</v>
      </c>
      <c r="H101" s="26">
        <f>IF('2_Cleaned_Data'!D100="Mall",1,0)</f>
        <v>1</v>
      </c>
    </row>
    <row r="102" spans="1:8" x14ac:dyDescent="0.45">
      <c r="A102" s="25">
        <f>'2_Cleaned_Data'!M101</f>
        <v>740102.64</v>
      </c>
      <c r="B102" s="25">
        <f>'2_Cleaned_Data'!E101</f>
        <v>90084.4</v>
      </c>
      <c r="C102" s="26">
        <f>'2_Cleaned_Data'!F101</f>
        <v>6832</v>
      </c>
      <c r="D102" s="26">
        <f>'2_Cleaned_Data'!G101</f>
        <v>0.185</v>
      </c>
      <c r="E102" s="26">
        <f>'2_Cleaned_Data'!I101</f>
        <v>80.5</v>
      </c>
      <c r="F102" s="26">
        <f>IF('2_Cleaned_Data'!D101="Airport",1,0)</f>
        <v>0</v>
      </c>
      <c r="G102" s="26">
        <f>IF('2_Cleaned_Data'!D101="High Street",1,0)</f>
        <v>0</v>
      </c>
      <c r="H102" s="26">
        <f>IF('2_Cleaned_Data'!D101="Mall",1,0)</f>
        <v>1</v>
      </c>
    </row>
    <row r="103" spans="1:8" x14ac:dyDescent="0.45">
      <c r="A103" s="25">
        <f>'2_Cleaned_Data'!M102</f>
        <v>625514.04</v>
      </c>
      <c r="B103" s="25">
        <f>'2_Cleaned_Data'!E102</f>
        <v>32266.639999999999</v>
      </c>
      <c r="C103" s="26">
        <f>'2_Cleaned_Data'!F102</f>
        <v>2414</v>
      </c>
      <c r="D103" s="26">
        <f>'2_Cleaned_Data'!G102</f>
        <v>0.08</v>
      </c>
      <c r="E103" s="26">
        <f>'2_Cleaned_Data'!I102</f>
        <v>92.1</v>
      </c>
      <c r="F103" s="26">
        <f>IF('2_Cleaned_Data'!D102="Airport",1,0)</f>
        <v>0</v>
      </c>
      <c r="G103" s="26">
        <f>IF('2_Cleaned_Data'!D102="High Street",1,0)</f>
        <v>0</v>
      </c>
      <c r="H103" s="26">
        <f>IF('2_Cleaned_Data'!D102="Mall",1,0)</f>
        <v>1</v>
      </c>
    </row>
    <row r="104" spans="1:8" x14ac:dyDescent="0.45">
      <c r="A104" s="25">
        <f>'2_Cleaned_Data'!M103</f>
        <v>727227.2</v>
      </c>
      <c r="B104" s="25">
        <f>'2_Cleaned_Data'!E103</f>
        <v>57919.07</v>
      </c>
      <c r="C104" s="26">
        <f>'2_Cleaned_Data'!F103</f>
        <v>7374</v>
      </c>
      <c r="D104" s="26">
        <f>'2_Cleaned_Data'!G103</f>
        <v>0.10299999999999999</v>
      </c>
      <c r="E104" s="26">
        <f>'2_Cleaned_Data'!I103</f>
        <v>82.3</v>
      </c>
      <c r="F104" s="26">
        <f>IF('2_Cleaned_Data'!D103="Airport",1,0)</f>
        <v>0</v>
      </c>
      <c r="G104" s="26">
        <f>IF('2_Cleaned_Data'!D103="High Street",1,0)</f>
        <v>1</v>
      </c>
      <c r="H104" s="26">
        <f>IF('2_Cleaned_Data'!D103="Mall",1,0)</f>
        <v>0</v>
      </c>
    </row>
    <row r="105" spans="1:8" x14ac:dyDescent="0.45">
      <c r="A105" s="25">
        <f>'2_Cleaned_Data'!M104</f>
        <v>783797.89</v>
      </c>
      <c r="B105" s="25">
        <f>'2_Cleaned_Data'!E104</f>
        <v>74679.350000000006</v>
      </c>
      <c r="C105" s="26">
        <f>'2_Cleaned_Data'!F104</f>
        <v>8739</v>
      </c>
      <c r="D105" s="26">
        <f>'2_Cleaned_Data'!G104</f>
        <v>5.6000000000000001E-2</v>
      </c>
      <c r="E105" s="26">
        <f>'2_Cleaned_Data'!I104</f>
        <v>91.8</v>
      </c>
      <c r="F105" s="26">
        <f>IF('2_Cleaned_Data'!D104="Airport",1,0)</f>
        <v>0</v>
      </c>
      <c r="G105" s="26">
        <f>IF('2_Cleaned_Data'!D104="High Street",1,0)</f>
        <v>1</v>
      </c>
      <c r="H105" s="26">
        <f>IF('2_Cleaned_Data'!D104="Mall",1,0)</f>
        <v>0</v>
      </c>
    </row>
    <row r="106" spans="1:8" x14ac:dyDescent="0.45">
      <c r="A106" s="25">
        <f>'2_Cleaned_Data'!M105</f>
        <v>795153.84</v>
      </c>
      <c r="B106" s="25">
        <f>'2_Cleaned_Data'!E105</f>
        <v>64294.23</v>
      </c>
      <c r="C106" s="26">
        <f>'2_Cleaned_Data'!F105</f>
        <v>6992</v>
      </c>
      <c r="D106" s="26">
        <f>'2_Cleaned_Data'!G105</f>
        <v>0.13300000000000001</v>
      </c>
      <c r="E106" s="26">
        <f>'2_Cleaned_Data'!I105</f>
        <v>94.1</v>
      </c>
      <c r="F106" s="26">
        <f>IF('2_Cleaned_Data'!D105="Airport",1,0)</f>
        <v>0</v>
      </c>
      <c r="G106" s="26">
        <f>IF('2_Cleaned_Data'!D105="High Street",1,0)</f>
        <v>1</v>
      </c>
      <c r="H106" s="26">
        <f>IF('2_Cleaned_Data'!D105="Mall",1,0)</f>
        <v>0</v>
      </c>
    </row>
    <row r="107" spans="1:8" x14ac:dyDescent="0.45">
      <c r="A107" s="25">
        <f>'2_Cleaned_Data'!M106</f>
        <v>665594.93999999994</v>
      </c>
      <c r="B107" s="25">
        <f>'2_Cleaned_Data'!E106</f>
        <v>31042.03</v>
      </c>
      <c r="C107" s="26">
        <f>'2_Cleaned_Data'!F106</f>
        <v>7107</v>
      </c>
      <c r="D107" s="26">
        <f>'2_Cleaned_Data'!G106</f>
        <v>5.0999999999999997E-2</v>
      </c>
      <c r="E107" s="26">
        <f>'2_Cleaned_Data'!I106</f>
        <v>87</v>
      </c>
      <c r="F107" s="26">
        <f>IF('2_Cleaned_Data'!D106="Airport",1,0)</f>
        <v>0</v>
      </c>
      <c r="G107" s="26">
        <f>IF('2_Cleaned_Data'!D106="High Street",1,0)</f>
        <v>1</v>
      </c>
      <c r="H107" s="26">
        <f>IF('2_Cleaned_Data'!D106="Mall",1,0)</f>
        <v>0</v>
      </c>
    </row>
    <row r="108" spans="1:8" x14ac:dyDescent="0.45">
      <c r="A108" s="25">
        <f>'2_Cleaned_Data'!M107</f>
        <v>709478.39</v>
      </c>
      <c r="B108" s="25">
        <f>'2_Cleaned_Data'!E107</f>
        <v>75265.02</v>
      </c>
      <c r="C108" s="26">
        <f>'2_Cleaned_Data'!F107</f>
        <v>6975</v>
      </c>
      <c r="D108" s="26">
        <f>'2_Cleaned_Data'!G107</f>
        <v>0.157</v>
      </c>
      <c r="E108" s="26">
        <f>'2_Cleaned_Data'!I107</f>
        <v>73.8</v>
      </c>
      <c r="F108" s="26">
        <f>IF('2_Cleaned_Data'!D107="Airport",1,0)</f>
        <v>0</v>
      </c>
      <c r="G108" s="26">
        <f>IF('2_Cleaned_Data'!D107="High Street",1,0)</f>
        <v>0</v>
      </c>
      <c r="H108" s="26">
        <f>IF('2_Cleaned_Data'!D107="Mall",1,0)</f>
        <v>1</v>
      </c>
    </row>
    <row r="109" spans="1:8" x14ac:dyDescent="0.45">
      <c r="A109" s="25">
        <f>'2_Cleaned_Data'!M108</f>
        <v>664162.49</v>
      </c>
      <c r="B109" s="25">
        <f>'2_Cleaned_Data'!E108</f>
        <v>69411.7</v>
      </c>
      <c r="C109" s="26">
        <f>'2_Cleaned_Data'!F108</f>
        <v>5493</v>
      </c>
      <c r="D109" s="26">
        <f>'2_Cleaned_Data'!G108</f>
        <v>0.29199999999999998</v>
      </c>
      <c r="E109" s="26">
        <f>'2_Cleaned_Data'!I108</f>
        <v>86.5</v>
      </c>
      <c r="F109" s="26">
        <f>IF('2_Cleaned_Data'!D108="Airport",1,0)</f>
        <v>0</v>
      </c>
      <c r="G109" s="26">
        <f>IF('2_Cleaned_Data'!D108="High Street",1,0)</f>
        <v>0</v>
      </c>
      <c r="H109" s="26">
        <f>IF('2_Cleaned_Data'!D108="Mall",1,0)</f>
        <v>1</v>
      </c>
    </row>
    <row r="110" spans="1:8" x14ac:dyDescent="0.45">
      <c r="A110" s="25">
        <f>'2_Cleaned_Data'!M109</f>
        <v>633494.21</v>
      </c>
      <c r="B110" s="25">
        <f>'2_Cleaned_Data'!E109</f>
        <v>51056.15</v>
      </c>
      <c r="C110" s="26">
        <f>'2_Cleaned_Data'!F109</f>
        <v>5686</v>
      </c>
      <c r="D110" s="26">
        <f>'2_Cleaned_Data'!G109</f>
        <v>8.8999999999999996E-2</v>
      </c>
      <c r="E110" s="26">
        <f>'2_Cleaned_Data'!I109</f>
        <v>89.9</v>
      </c>
      <c r="F110" s="26">
        <f>IF('2_Cleaned_Data'!D109="Airport",1,0)</f>
        <v>0</v>
      </c>
      <c r="G110" s="26">
        <f>IF('2_Cleaned_Data'!D109="High Street",1,0)</f>
        <v>0</v>
      </c>
      <c r="H110" s="26">
        <f>IF('2_Cleaned_Data'!D109="Mall",1,0)</f>
        <v>1</v>
      </c>
    </row>
    <row r="111" spans="1:8" x14ac:dyDescent="0.45">
      <c r="A111" s="25">
        <f>'2_Cleaned_Data'!M110</f>
        <v>713611.16</v>
      </c>
      <c r="B111" s="25">
        <f>'2_Cleaned_Data'!E110</f>
        <v>52758.01</v>
      </c>
      <c r="C111" s="26">
        <f>'2_Cleaned_Data'!F110</f>
        <v>4063</v>
      </c>
      <c r="D111" s="26">
        <f>'2_Cleaned_Data'!G110</f>
        <v>5.7000000000000002E-2</v>
      </c>
      <c r="E111" s="26">
        <f>'2_Cleaned_Data'!I110</f>
        <v>91.7</v>
      </c>
      <c r="F111" s="26">
        <f>IF('2_Cleaned_Data'!D110="Airport",1,0)</f>
        <v>0</v>
      </c>
      <c r="G111" s="26">
        <f>IF('2_Cleaned_Data'!D110="High Street",1,0)</f>
        <v>0</v>
      </c>
      <c r="H111" s="26">
        <f>IF('2_Cleaned_Data'!D110="Mall",1,0)</f>
        <v>1</v>
      </c>
    </row>
    <row r="112" spans="1:8" x14ac:dyDescent="0.45">
      <c r="A112" s="25">
        <f>'2_Cleaned_Data'!M111</f>
        <v>778397.97</v>
      </c>
      <c r="B112" s="25">
        <f>'2_Cleaned_Data'!E111</f>
        <v>61426.04</v>
      </c>
      <c r="C112" s="26">
        <f>'2_Cleaned_Data'!F111</f>
        <v>8966</v>
      </c>
      <c r="D112" s="26">
        <f>'2_Cleaned_Data'!G111</f>
        <v>0.17299999999999999</v>
      </c>
      <c r="E112" s="26">
        <f>'2_Cleaned_Data'!I111</f>
        <v>76.400000000000006</v>
      </c>
      <c r="F112" s="26">
        <f>IF('2_Cleaned_Data'!D111="Airport",1,0)</f>
        <v>0</v>
      </c>
      <c r="G112" s="26">
        <f>IF('2_Cleaned_Data'!D111="High Street",1,0)</f>
        <v>0</v>
      </c>
      <c r="H112" s="26">
        <f>IF('2_Cleaned_Data'!D111="Mall",1,0)</f>
        <v>1</v>
      </c>
    </row>
    <row r="113" spans="1:8" x14ac:dyDescent="0.45">
      <c r="A113" s="25">
        <f>'2_Cleaned_Data'!M112</f>
        <v>873380.02</v>
      </c>
      <c r="B113" s="25">
        <f>'2_Cleaned_Data'!E112</f>
        <v>80176.34</v>
      </c>
      <c r="C113" s="26">
        <f>'2_Cleaned_Data'!F112</f>
        <v>9489</v>
      </c>
      <c r="D113" s="26">
        <f>'2_Cleaned_Data'!G112</f>
        <v>0.14199999999999999</v>
      </c>
      <c r="E113" s="26">
        <f>'2_Cleaned_Data'!I112</f>
        <v>94.3</v>
      </c>
      <c r="F113" s="26">
        <f>IF('2_Cleaned_Data'!D112="Airport",1,0)</f>
        <v>0</v>
      </c>
      <c r="G113" s="26">
        <f>IF('2_Cleaned_Data'!D112="High Street",1,0)</f>
        <v>0</v>
      </c>
      <c r="H113" s="26">
        <f>IF('2_Cleaned_Data'!D112="Mall",1,0)</f>
        <v>1</v>
      </c>
    </row>
    <row r="114" spans="1:8" x14ac:dyDescent="0.45">
      <c r="A114" s="25">
        <f>'2_Cleaned_Data'!M113</f>
        <v>697287.9</v>
      </c>
      <c r="B114" s="25">
        <f>'2_Cleaned_Data'!E113</f>
        <v>33605.18</v>
      </c>
      <c r="C114" s="26">
        <f>'2_Cleaned_Data'!F113</f>
        <v>9225</v>
      </c>
      <c r="D114" s="26">
        <f>'2_Cleaned_Data'!G113</f>
        <v>0.159</v>
      </c>
      <c r="E114" s="26">
        <f>'2_Cleaned_Data'!I113</f>
        <v>88.4</v>
      </c>
      <c r="F114" s="26">
        <f>IF('2_Cleaned_Data'!D113="Airport",1,0)</f>
        <v>0</v>
      </c>
      <c r="G114" s="26">
        <f>IF('2_Cleaned_Data'!D113="High Street",1,0)</f>
        <v>0</v>
      </c>
      <c r="H114" s="26">
        <f>IF('2_Cleaned_Data'!D113="Mall",1,0)</f>
        <v>1</v>
      </c>
    </row>
    <row r="115" spans="1:8" x14ac:dyDescent="0.45">
      <c r="A115" s="25">
        <f>'2_Cleaned_Data'!M114</f>
        <v>718074.79</v>
      </c>
      <c r="B115" s="25">
        <f>'2_Cleaned_Data'!E114</f>
        <v>25990.54</v>
      </c>
      <c r="C115" s="26">
        <f>'2_Cleaned_Data'!F114</f>
        <v>9249</v>
      </c>
      <c r="D115" s="26">
        <f>'2_Cleaned_Data'!G114</f>
        <v>0.13900000000000001</v>
      </c>
      <c r="E115" s="26">
        <f>'2_Cleaned_Data'!I114</f>
        <v>92.5</v>
      </c>
      <c r="F115" s="26">
        <f>IF('2_Cleaned_Data'!D114="Airport",1,0)</f>
        <v>0</v>
      </c>
      <c r="G115" s="26">
        <f>IF('2_Cleaned_Data'!D114="High Street",1,0)</f>
        <v>0</v>
      </c>
      <c r="H115" s="26">
        <f>IF('2_Cleaned_Data'!D114="Mall",1,0)</f>
        <v>1</v>
      </c>
    </row>
    <row r="116" spans="1:8" x14ac:dyDescent="0.45">
      <c r="A116" s="25">
        <f>'2_Cleaned_Data'!M115</f>
        <v>714942.43</v>
      </c>
      <c r="B116" s="25">
        <f>'2_Cleaned_Data'!E115</f>
        <v>43685.14</v>
      </c>
      <c r="C116" s="26">
        <f>'2_Cleaned_Data'!F115</f>
        <v>7821</v>
      </c>
      <c r="D116" s="26">
        <f>'2_Cleaned_Data'!G115</f>
        <v>0.19</v>
      </c>
      <c r="E116" s="26">
        <f>'2_Cleaned_Data'!I115</f>
        <v>91</v>
      </c>
      <c r="F116" s="26">
        <f>IF('2_Cleaned_Data'!D115="Airport",1,0)</f>
        <v>0</v>
      </c>
      <c r="G116" s="26">
        <f>IF('2_Cleaned_Data'!D115="High Street",1,0)</f>
        <v>0</v>
      </c>
      <c r="H116" s="26">
        <f>IF('2_Cleaned_Data'!D115="Mall",1,0)</f>
        <v>0</v>
      </c>
    </row>
    <row r="117" spans="1:8" x14ac:dyDescent="0.45">
      <c r="A117" s="25">
        <f>'2_Cleaned_Data'!M116</f>
        <v>820519.04</v>
      </c>
      <c r="B117" s="25">
        <f>'2_Cleaned_Data'!E116</f>
        <v>57360.01</v>
      </c>
      <c r="C117" s="26">
        <f>'2_Cleaned_Data'!F116</f>
        <v>8434</v>
      </c>
      <c r="D117" s="26">
        <f>'2_Cleaned_Data'!G116</f>
        <v>0.151</v>
      </c>
      <c r="E117" s="26">
        <f>'2_Cleaned_Data'!I116</f>
        <v>84.1</v>
      </c>
      <c r="F117" s="26">
        <f>IF('2_Cleaned_Data'!D116="Airport",1,0)</f>
        <v>0</v>
      </c>
      <c r="G117" s="26">
        <f>IF('2_Cleaned_Data'!D116="High Street",1,0)</f>
        <v>0</v>
      </c>
      <c r="H117" s="26">
        <f>IF('2_Cleaned_Data'!D116="Mall",1,0)</f>
        <v>0</v>
      </c>
    </row>
    <row r="118" spans="1:8" x14ac:dyDescent="0.45">
      <c r="A118" s="25">
        <f>'2_Cleaned_Data'!M117</f>
        <v>684217.32</v>
      </c>
      <c r="B118" s="25">
        <f>'2_Cleaned_Data'!E117</f>
        <v>42415.47</v>
      </c>
      <c r="C118" s="26">
        <f>'2_Cleaned_Data'!F117</f>
        <v>8512</v>
      </c>
      <c r="D118" s="26">
        <f>'2_Cleaned_Data'!G117</f>
        <v>0.13300000000000001</v>
      </c>
      <c r="E118" s="26">
        <f>'2_Cleaned_Data'!I117</f>
        <v>96.8</v>
      </c>
      <c r="F118" s="26">
        <f>IF('2_Cleaned_Data'!D117="Airport",1,0)</f>
        <v>0</v>
      </c>
      <c r="G118" s="26">
        <f>IF('2_Cleaned_Data'!D117="High Street",1,0)</f>
        <v>0</v>
      </c>
      <c r="H118" s="26">
        <f>IF('2_Cleaned_Data'!D117="Mall",1,0)</f>
        <v>0</v>
      </c>
    </row>
    <row r="119" spans="1:8" x14ac:dyDescent="0.45">
      <c r="A119" s="25">
        <f>'2_Cleaned_Data'!M118</f>
        <v>735480.19</v>
      </c>
      <c r="B119" s="25">
        <f>'2_Cleaned_Data'!E118</f>
        <v>54968.98</v>
      </c>
      <c r="C119" s="26">
        <f>'2_Cleaned_Data'!F118</f>
        <v>7816</v>
      </c>
      <c r="D119" s="26">
        <f>'2_Cleaned_Data'!G118</f>
        <v>0.23200000000000001</v>
      </c>
      <c r="E119" s="26">
        <f>'2_Cleaned_Data'!I118</f>
        <v>95.7</v>
      </c>
      <c r="F119" s="26">
        <f>IF('2_Cleaned_Data'!D118="Airport",1,0)</f>
        <v>0</v>
      </c>
      <c r="G119" s="26">
        <f>IF('2_Cleaned_Data'!D118="High Street",1,0)</f>
        <v>0</v>
      </c>
      <c r="H119" s="26">
        <f>IF('2_Cleaned_Data'!D118="Mall",1,0)</f>
        <v>0</v>
      </c>
    </row>
    <row r="120" spans="1:8" x14ac:dyDescent="0.45">
      <c r="A120" s="25">
        <f>'2_Cleaned_Data'!M119</f>
        <v>509484.81</v>
      </c>
      <c r="B120" s="25">
        <f>'2_Cleaned_Data'!E119</f>
        <v>43896.13</v>
      </c>
      <c r="C120" s="26">
        <f>'2_Cleaned_Data'!F119</f>
        <v>3853</v>
      </c>
      <c r="D120" s="26">
        <f>'2_Cleaned_Data'!G119</f>
        <v>8.7999999999999995E-2</v>
      </c>
      <c r="E120" s="26">
        <f>'2_Cleaned_Data'!I119</f>
        <v>83</v>
      </c>
      <c r="F120" s="26">
        <f>IF('2_Cleaned_Data'!D119="Airport",1,0)</f>
        <v>0</v>
      </c>
      <c r="G120" s="26">
        <f>IF('2_Cleaned_Data'!D119="High Street",1,0)</f>
        <v>1</v>
      </c>
      <c r="H120" s="26">
        <f>IF('2_Cleaned_Data'!D119="Mall",1,0)</f>
        <v>0</v>
      </c>
    </row>
    <row r="121" spans="1:8" x14ac:dyDescent="0.45">
      <c r="A121" s="25">
        <f>'2_Cleaned_Data'!M120</f>
        <v>654317.09</v>
      </c>
      <c r="B121" s="25">
        <f>'2_Cleaned_Data'!E120</f>
        <v>83044.17</v>
      </c>
      <c r="C121" s="26">
        <f>'2_Cleaned_Data'!F120</f>
        <v>3694</v>
      </c>
      <c r="D121" s="26">
        <f>'2_Cleaned_Data'!G120</f>
        <v>0</v>
      </c>
      <c r="E121" s="26">
        <f>'2_Cleaned_Data'!I120</f>
        <v>89.4</v>
      </c>
      <c r="F121" s="26">
        <f>IF('2_Cleaned_Data'!D120="Airport",1,0)</f>
        <v>0</v>
      </c>
      <c r="G121" s="26">
        <f>IF('2_Cleaned_Data'!D120="High Street",1,0)</f>
        <v>1</v>
      </c>
      <c r="H121" s="26">
        <f>IF('2_Cleaned_Data'!D120="Mall",1,0)</f>
        <v>0</v>
      </c>
    </row>
    <row r="122" spans="1:8" x14ac:dyDescent="0.45">
      <c r="A122" s="25">
        <f>'2_Cleaned_Data'!M121</f>
        <v>557487.26</v>
      </c>
      <c r="B122" s="25">
        <f>'2_Cleaned_Data'!E121</f>
        <v>48396.13</v>
      </c>
      <c r="C122" s="26">
        <f>'2_Cleaned_Data'!F121</f>
        <v>4423</v>
      </c>
      <c r="D122" s="26">
        <f>'2_Cleaned_Data'!G121</f>
        <v>6.9000000000000006E-2</v>
      </c>
      <c r="E122" s="26">
        <f>'2_Cleaned_Data'!I121</f>
        <v>85.7</v>
      </c>
      <c r="F122" s="26">
        <f>IF('2_Cleaned_Data'!D121="Airport",1,0)</f>
        <v>0</v>
      </c>
      <c r="G122" s="26">
        <f>IF('2_Cleaned_Data'!D121="High Street",1,0)</f>
        <v>1</v>
      </c>
      <c r="H122" s="26">
        <f>IF('2_Cleaned_Data'!D121="Mall",1,0)</f>
        <v>0</v>
      </c>
    </row>
    <row r="123" spans="1:8" x14ac:dyDescent="0.45">
      <c r="A123" s="25">
        <f>'2_Cleaned_Data'!M122</f>
        <v>441275.42</v>
      </c>
      <c r="B123" s="25">
        <f>'2_Cleaned_Data'!E122</f>
        <v>19063.48</v>
      </c>
      <c r="C123" s="26">
        <f>'2_Cleaned_Data'!F122</f>
        <v>1906</v>
      </c>
      <c r="D123" s="26">
        <f>'2_Cleaned_Data'!G122</f>
        <v>0.216</v>
      </c>
      <c r="E123" s="26">
        <f>'2_Cleaned_Data'!I122</f>
        <v>97.8</v>
      </c>
      <c r="F123" s="26">
        <f>IF('2_Cleaned_Data'!D122="Airport",1,0)</f>
        <v>0</v>
      </c>
      <c r="G123" s="26">
        <f>IF('2_Cleaned_Data'!D122="High Street",1,0)</f>
        <v>1</v>
      </c>
      <c r="H123" s="26">
        <f>IF('2_Cleaned_Data'!D122="Mall",1,0)</f>
        <v>0</v>
      </c>
    </row>
    <row r="124" spans="1:8" x14ac:dyDescent="0.45">
      <c r="A124" s="25">
        <f>'2_Cleaned_Data'!M123</f>
        <v>914544.17</v>
      </c>
      <c r="B124" s="25">
        <f>'2_Cleaned_Data'!E123</f>
        <v>61541.21</v>
      </c>
      <c r="C124" s="26">
        <f>'2_Cleaned_Data'!F123</f>
        <v>10396</v>
      </c>
      <c r="D124" s="26">
        <f>'2_Cleaned_Data'!G123</f>
        <v>0.123</v>
      </c>
      <c r="E124" s="26">
        <f>'2_Cleaned_Data'!I123</f>
        <v>88.1</v>
      </c>
      <c r="F124" s="26">
        <f>IF('2_Cleaned_Data'!D123="Airport",1,0)</f>
        <v>0</v>
      </c>
      <c r="G124" s="26">
        <f>IF('2_Cleaned_Data'!D123="High Street",1,0)</f>
        <v>1</v>
      </c>
      <c r="H124" s="26">
        <f>IF('2_Cleaned_Data'!D123="Mall",1,0)</f>
        <v>0</v>
      </c>
    </row>
    <row r="125" spans="1:8" x14ac:dyDescent="0.45">
      <c r="A125" s="25">
        <f>'2_Cleaned_Data'!M124</f>
        <v>842439.67</v>
      </c>
      <c r="B125" s="25">
        <f>'2_Cleaned_Data'!E124</f>
        <v>44747</v>
      </c>
      <c r="C125" s="26">
        <f>'2_Cleaned_Data'!F124</f>
        <v>11076</v>
      </c>
      <c r="D125" s="26">
        <f>'2_Cleaned_Data'!G124</f>
        <v>0.17599999999999999</v>
      </c>
      <c r="E125" s="26">
        <f>'2_Cleaned_Data'!I124</f>
        <v>98.3</v>
      </c>
      <c r="F125" s="26">
        <f>IF('2_Cleaned_Data'!D124="Airport",1,0)</f>
        <v>0</v>
      </c>
      <c r="G125" s="26">
        <f>IF('2_Cleaned_Data'!D124="High Street",1,0)</f>
        <v>1</v>
      </c>
      <c r="H125" s="26">
        <f>IF('2_Cleaned_Data'!D124="Mall",1,0)</f>
        <v>0</v>
      </c>
    </row>
    <row r="126" spans="1:8" x14ac:dyDescent="0.45">
      <c r="A126" s="25">
        <f>'2_Cleaned_Data'!M125</f>
        <v>842157.92</v>
      </c>
      <c r="B126" s="25">
        <f>'2_Cleaned_Data'!E125</f>
        <v>56517.9</v>
      </c>
      <c r="C126" s="26">
        <f>'2_Cleaned_Data'!F125</f>
        <v>9574</v>
      </c>
      <c r="D126" s="26">
        <f>'2_Cleaned_Data'!G125</f>
        <v>0.20399999999999999</v>
      </c>
      <c r="E126" s="26">
        <f>'2_Cleaned_Data'!I125</f>
        <v>88.2</v>
      </c>
      <c r="F126" s="26">
        <f>IF('2_Cleaned_Data'!D125="Airport",1,0)</f>
        <v>0</v>
      </c>
      <c r="G126" s="26">
        <f>IF('2_Cleaned_Data'!D125="High Street",1,0)</f>
        <v>1</v>
      </c>
      <c r="H126" s="26">
        <f>IF('2_Cleaned_Data'!D125="Mall",1,0)</f>
        <v>0</v>
      </c>
    </row>
    <row r="127" spans="1:8" x14ac:dyDescent="0.45">
      <c r="A127" s="25">
        <f>'2_Cleaned_Data'!M126</f>
        <v>697155.3</v>
      </c>
      <c r="B127" s="25">
        <f>'2_Cleaned_Data'!E126</f>
        <v>37828.5</v>
      </c>
      <c r="C127" s="26">
        <f>'2_Cleaned_Data'!F126</f>
        <v>8221</v>
      </c>
      <c r="D127" s="26">
        <f>'2_Cleaned_Data'!G126</f>
        <v>9.6000000000000002E-2</v>
      </c>
      <c r="E127" s="26">
        <f>'2_Cleaned_Data'!I126</f>
        <v>81.5</v>
      </c>
      <c r="F127" s="26">
        <f>IF('2_Cleaned_Data'!D126="Airport",1,0)</f>
        <v>0</v>
      </c>
      <c r="G127" s="26">
        <f>IF('2_Cleaned_Data'!D126="High Street",1,0)</f>
        <v>1</v>
      </c>
      <c r="H127" s="26">
        <f>IF('2_Cleaned_Data'!D126="Mall",1,0)</f>
        <v>0</v>
      </c>
    </row>
    <row r="128" spans="1:8" x14ac:dyDescent="0.45">
      <c r="A128" s="25">
        <f>'2_Cleaned_Data'!M127</f>
        <v>849018.3</v>
      </c>
      <c r="B128" s="25">
        <f>'2_Cleaned_Data'!E127</f>
        <v>66250.53</v>
      </c>
      <c r="C128" s="26">
        <f>'2_Cleaned_Data'!F127</f>
        <v>10618</v>
      </c>
      <c r="D128" s="26">
        <f>'2_Cleaned_Data'!G127</f>
        <v>0.14199999999999999</v>
      </c>
      <c r="E128" s="26">
        <f>'2_Cleaned_Data'!I127</f>
        <v>88.3</v>
      </c>
      <c r="F128" s="26">
        <f>IF('2_Cleaned_Data'!D127="Airport",1,0)</f>
        <v>0</v>
      </c>
      <c r="G128" s="26">
        <f>IF('2_Cleaned_Data'!D127="High Street",1,0)</f>
        <v>1</v>
      </c>
      <c r="H128" s="26">
        <f>IF('2_Cleaned_Data'!D127="Mall",1,0)</f>
        <v>0</v>
      </c>
    </row>
    <row r="129" spans="1:8" x14ac:dyDescent="0.45">
      <c r="A129" s="25">
        <f>'2_Cleaned_Data'!M128</f>
        <v>801830.35</v>
      </c>
      <c r="B129" s="25">
        <f>'2_Cleaned_Data'!E128</f>
        <v>68410.929999999993</v>
      </c>
      <c r="C129" s="26">
        <f>'2_Cleaned_Data'!F128</f>
        <v>10596</v>
      </c>
      <c r="D129" s="26">
        <f>'2_Cleaned_Data'!G128</f>
        <v>0.20699999999999999</v>
      </c>
      <c r="E129" s="26">
        <f>'2_Cleaned_Data'!I128</f>
        <v>81.2</v>
      </c>
      <c r="F129" s="26">
        <f>IF('2_Cleaned_Data'!D128="Airport",1,0)</f>
        <v>0</v>
      </c>
      <c r="G129" s="26">
        <f>IF('2_Cleaned_Data'!D128="High Street",1,0)</f>
        <v>1</v>
      </c>
      <c r="H129" s="26">
        <f>IF('2_Cleaned_Data'!D128="Mall",1,0)</f>
        <v>0</v>
      </c>
    </row>
    <row r="130" spans="1:8" x14ac:dyDescent="0.45">
      <c r="A130" s="25">
        <f>'2_Cleaned_Data'!M129</f>
        <v>725235.28</v>
      </c>
      <c r="B130" s="25">
        <f>'2_Cleaned_Data'!E129</f>
        <v>50735.63</v>
      </c>
      <c r="C130" s="26">
        <f>'2_Cleaned_Data'!F129</f>
        <v>9619</v>
      </c>
      <c r="D130" s="26">
        <f>'2_Cleaned_Data'!G129</f>
        <v>0.14399999999999999</v>
      </c>
      <c r="E130" s="26">
        <f>'2_Cleaned_Data'!I129</f>
        <v>93.8</v>
      </c>
      <c r="F130" s="26">
        <f>IF('2_Cleaned_Data'!D129="Airport",1,0)</f>
        <v>0</v>
      </c>
      <c r="G130" s="26">
        <f>IF('2_Cleaned_Data'!D129="High Street",1,0)</f>
        <v>1</v>
      </c>
      <c r="H130" s="26">
        <f>IF('2_Cleaned_Data'!D129="Mall",1,0)</f>
        <v>0</v>
      </c>
    </row>
    <row r="131" spans="1:8" x14ac:dyDescent="0.45">
      <c r="A131" s="25">
        <f>'2_Cleaned_Data'!M130</f>
        <v>811452.72</v>
      </c>
      <c r="B131" s="25">
        <f>'2_Cleaned_Data'!E130</f>
        <v>66455.8</v>
      </c>
      <c r="C131" s="26">
        <f>'2_Cleaned_Data'!F130</f>
        <v>10836</v>
      </c>
      <c r="D131" s="26">
        <f>'2_Cleaned_Data'!G130</f>
        <v>8.8999999999999996E-2</v>
      </c>
      <c r="E131" s="26">
        <f>'2_Cleaned_Data'!I130</f>
        <v>85</v>
      </c>
      <c r="F131" s="26">
        <f>IF('2_Cleaned_Data'!D130="Airport",1,0)</f>
        <v>0</v>
      </c>
      <c r="G131" s="26">
        <f>IF('2_Cleaned_Data'!D130="High Street",1,0)</f>
        <v>1</v>
      </c>
      <c r="H131" s="26">
        <f>IF('2_Cleaned_Data'!D130="Mall",1,0)</f>
        <v>0</v>
      </c>
    </row>
    <row r="132" spans="1:8" x14ac:dyDescent="0.45">
      <c r="A132" s="25">
        <f>'2_Cleaned_Data'!M131</f>
        <v>527300.13</v>
      </c>
      <c r="B132" s="25">
        <f>'2_Cleaned_Data'!E131</f>
        <v>70276.28</v>
      </c>
      <c r="C132" s="26">
        <f>'2_Cleaned_Data'!F131</f>
        <v>3043</v>
      </c>
      <c r="D132" s="26">
        <f>'2_Cleaned_Data'!G131</f>
        <v>7.9000000000000001E-2</v>
      </c>
      <c r="E132" s="26">
        <f>'2_Cleaned_Data'!I131</f>
        <v>87.9</v>
      </c>
      <c r="F132" s="26">
        <f>IF('2_Cleaned_Data'!D131="Airport",1,0)</f>
        <v>0</v>
      </c>
      <c r="G132" s="26">
        <f>IF('2_Cleaned_Data'!D131="High Street",1,0)</f>
        <v>1</v>
      </c>
      <c r="H132" s="26">
        <f>IF('2_Cleaned_Data'!D131="Mall",1,0)</f>
        <v>0</v>
      </c>
    </row>
    <row r="133" spans="1:8" x14ac:dyDescent="0.45">
      <c r="A133" s="25">
        <f>'2_Cleaned_Data'!M132</f>
        <v>593247.25</v>
      </c>
      <c r="B133" s="25">
        <f>'2_Cleaned_Data'!E132</f>
        <v>52285.45</v>
      </c>
      <c r="C133" s="26">
        <f>'2_Cleaned_Data'!F132</f>
        <v>3618</v>
      </c>
      <c r="D133" s="26">
        <f>'2_Cleaned_Data'!G132</f>
        <v>8.5999999999999993E-2</v>
      </c>
      <c r="E133" s="26">
        <f>'2_Cleaned_Data'!I132</f>
        <v>95.6</v>
      </c>
      <c r="F133" s="26">
        <f>IF('2_Cleaned_Data'!D132="Airport",1,0)</f>
        <v>0</v>
      </c>
      <c r="G133" s="26">
        <f>IF('2_Cleaned_Data'!D132="High Street",1,0)</f>
        <v>1</v>
      </c>
      <c r="H133" s="26">
        <f>IF('2_Cleaned_Data'!D132="Mall",1,0)</f>
        <v>0</v>
      </c>
    </row>
    <row r="134" spans="1:8" x14ac:dyDescent="0.45">
      <c r="A134" s="25">
        <f>'2_Cleaned_Data'!M133</f>
        <v>529075.94999999995</v>
      </c>
      <c r="B134" s="25">
        <f>'2_Cleaned_Data'!E133</f>
        <v>70366.759999999995</v>
      </c>
      <c r="C134" s="26">
        <f>'2_Cleaned_Data'!F133</f>
        <v>1963</v>
      </c>
      <c r="D134" s="26">
        <f>'2_Cleaned_Data'!G133</f>
        <v>0.182</v>
      </c>
      <c r="E134" s="26">
        <f>'2_Cleaned_Data'!I133</f>
        <v>89.8</v>
      </c>
      <c r="F134" s="26">
        <f>IF('2_Cleaned_Data'!D133="Airport",1,0)</f>
        <v>0</v>
      </c>
      <c r="G134" s="26">
        <f>IF('2_Cleaned_Data'!D133="High Street",1,0)</f>
        <v>1</v>
      </c>
      <c r="H134" s="26">
        <f>IF('2_Cleaned_Data'!D133="Mall",1,0)</f>
        <v>0</v>
      </c>
    </row>
    <row r="135" spans="1:8" x14ac:dyDescent="0.45">
      <c r="A135" s="25">
        <f>'2_Cleaned_Data'!M134</f>
        <v>743348.84</v>
      </c>
      <c r="B135" s="25">
        <f>'2_Cleaned_Data'!E134</f>
        <v>75109.67</v>
      </c>
      <c r="C135" s="26">
        <f>'2_Cleaned_Data'!F134</f>
        <v>6244</v>
      </c>
      <c r="D135" s="26">
        <f>'2_Cleaned_Data'!G134</f>
        <v>7.9000000000000001E-2</v>
      </c>
      <c r="E135" s="26">
        <f>'2_Cleaned_Data'!I134</f>
        <v>96.3</v>
      </c>
      <c r="F135" s="26">
        <f>IF('2_Cleaned_Data'!D134="Airport",1,0)</f>
        <v>0</v>
      </c>
      <c r="G135" s="26">
        <f>IF('2_Cleaned_Data'!D134="High Street",1,0)</f>
        <v>0</v>
      </c>
      <c r="H135" s="26">
        <f>IF('2_Cleaned_Data'!D134="Mall",1,0)</f>
        <v>0</v>
      </c>
    </row>
    <row r="136" spans="1:8" x14ac:dyDescent="0.45">
      <c r="A136" s="25">
        <f>'2_Cleaned_Data'!M135</f>
        <v>758827.64</v>
      </c>
      <c r="B136" s="25">
        <f>'2_Cleaned_Data'!E135</f>
        <v>69779</v>
      </c>
      <c r="C136" s="26">
        <f>'2_Cleaned_Data'!F135</f>
        <v>6544</v>
      </c>
      <c r="D136" s="26">
        <f>'2_Cleaned_Data'!G135</f>
        <v>0.152</v>
      </c>
      <c r="E136" s="26">
        <f>'2_Cleaned_Data'!I135</f>
        <v>90.2</v>
      </c>
      <c r="F136" s="26">
        <f>IF('2_Cleaned_Data'!D135="Airport",1,0)</f>
        <v>0</v>
      </c>
      <c r="G136" s="26">
        <f>IF('2_Cleaned_Data'!D135="High Street",1,0)</f>
        <v>0</v>
      </c>
      <c r="H136" s="26">
        <f>IF('2_Cleaned_Data'!D135="Mall",1,0)</f>
        <v>0</v>
      </c>
    </row>
    <row r="137" spans="1:8" x14ac:dyDescent="0.45">
      <c r="A137" s="25">
        <f>'2_Cleaned_Data'!M136</f>
        <v>646559.71</v>
      </c>
      <c r="B137" s="25">
        <f>'2_Cleaned_Data'!E136</f>
        <v>44211.95</v>
      </c>
      <c r="C137" s="26">
        <f>'2_Cleaned_Data'!F136</f>
        <v>5465</v>
      </c>
      <c r="D137" s="26">
        <f>'2_Cleaned_Data'!G136</f>
        <v>0.187</v>
      </c>
      <c r="E137" s="26">
        <f>'2_Cleaned_Data'!I136</f>
        <v>90</v>
      </c>
      <c r="F137" s="26">
        <f>IF('2_Cleaned_Data'!D136="Airport",1,0)</f>
        <v>0</v>
      </c>
      <c r="G137" s="26">
        <f>IF('2_Cleaned_Data'!D136="High Street",1,0)</f>
        <v>0</v>
      </c>
      <c r="H137" s="26">
        <f>IF('2_Cleaned_Data'!D136="Mall",1,0)</f>
        <v>0</v>
      </c>
    </row>
    <row r="138" spans="1:8" x14ac:dyDescent="0.45">
      <c r="A138" s="25">
        <f>'2_Cleaned_Data'!M137</f>
        <v>715890.53</v>
      </c>
      <c r="B138" s="25">
        <f>'2_Cleaned_Data'!E137</f>
        <v>51430.31</v>
      </c>
      <c r="C138" s="26">
        <f>'2_Cleaned_Data'!F137</f>
        <v>6427</v>
      </c>
      <c r="D138" s="26">
        <f>'2_Cleaned_Data'!G137</f>
        <v>0.23400000000000001</v>
      </c>
      <c r="E138" s="26">
        <f>'2_Cleaned_Data'!I137</f>
        <v>88.8</v>
      </c>
      <c r="F138" s="26">
        <f>IF('2_Cleaned_Data'!D137="Airport",1,0)</f>
        <v>0</v>
      </c>
      <c r="G138" s="26">
        <f>IF('2_Cleaned_Data'!D137="High Street",1,0)</f>
        <v>1</v>
      </c>
      <c r="H138" s="26">
        <f>IF('2_Cleaned_Data'!D137="Mall",1,0)</f>
        <v>0</v>
      </c>
    </row>
    <row r="139" spans="1:8" x14ac:dyDescent="0.45">
      <c r="A139" s="25">
        <f>'2_Cleaned_Data'!M138</f>
        <v>715097.57</v>
      </c>
      <c r="B139" s="25">
        <f>'2_Cleaned_Data'!E138</f>
        <v>45706.49</v>
      </c>
      <c r="C139" s="26">
        <f>'2_Cleaned_Data'!F138</f>
        <v>6704</v>
      </c>
      <c r="D139" s="26">
        <f>'2_Cleaned_Data'!G138</f>
        <v>3.7999999999999999E-2</v>
      </c>
      <c r="E139" s="26">
        <f>'2_Cleaned_Data'!I138</f>
        <v>94.2</v>
      </c>
      <c r="F139" s="26">
        <f>IF('2_Cleaned_Data'!D138="Airport",1,0)</f>
        <v>0</v>
      </c>
      <c r="G139" s="26">
        <f>IF('2_Cleaned_Data'!D138="High Street",1,0)</f>
        <v>1</v>
      </c>
      <c r="H139" s="26">
        <f>IF('2_Cleaned_Data'!D138="Mall",1,0)</f>
        <v>0</v>
      </c>
    </row>
    <row r="140" spans="1:8" x14ac:dyDescent="0.45">
      <c r="A140" s="25">
        <f>'2_Cleaned_Data'!M139</f>
        <v>682639.28</v>
      </c>
      <c r="B140" s="25">
        <f>'2_Cleaned_Data'!E139</f>
        <v>44034.6</v>
      </c>
      <c r="C140" s="26">
        <f>'2_Cleaned_Data'!F139</f>
        <v>5645</v>
      </c>
      <c r="D140" s="26">
        <f>'2_Cleaned_Data'!G139</f>
        <v>6.9000000000000006E-2</v>
      </c>
      <c r="E140" s="26">
        <f>'2_Cleaned_Data'!I139</f>
        <v>88.5</v>
      </c>
      <c r="F140" s="26">
        <f>IF('2_Cleaned_Data'!D139="Airport",1,0)</f>
        <v>0</v>
      </c>
      <c r="G140" s="26">
        <f>IF('2_Cleaned_Data'!D139="High Street",1,0)</f>
        <v>1</v>
      </c>
      <c r="H140" s="26">
        <f>IF('2_Cleaned_Data'!D139="Mall",1,0)</f>
        <v>0</v>
      </c>
    </row>
    <row r="141" spans="1:8" x14ac:dyDescent="0.45">
      <c r="A141" s="25">
        <f>'2_Cleaned_Data'!M140</f>
        <v>695098.51</v>
      </c>
      <c r="B141" s="25">
        <f>'2_Cleaned_Data'!E140</f>
        <v>50198.12</v>
      </c>
      <c r="C141" s="26">
        <f>'2_Cleaned_Data'!F140</f>
        <v>6089</v>
      </c>
      <c r="D141" s="26">
        <f>'2_Cleaned_Data'!G140</f>
        <v>0.182</v>
      </c>
      <c r="E141" s="26">
        <f>'2_Cleaned_Data'!I140</f>
        <v>94</v>
      </c>
      <c r="F141" s="26">
        <f>IF('2_Cleaned_Data'!D140="Airport",1,0)</f>
        <v>0</v>
      </c>
      <c r="G141" s="26">
        <f>IF('2_Cleaned_Data'!D140="High Street",1,0)</f>
        <v>1</v>
      </c>
      <c r="H141" s="26">
        <f>IF('2_Cleaned_Data'!D140="Mall",1,0)</f>
        <v>0</v>
      </c>
    </row>
    <row r="142" spans="1:8" x14ac:dyDescent="0.45">
      <c r="A142" s="25">
        <f>'2_Cleaned_Data'!M141</f>
        <v>577732.56999999995</v>
      </c>
      <c r="B142" s="25">
        <f>'2_Cleaned_Data'!E141</f>
        <v>70488.2</v>
      </c>
      <c r="C142" s="26">
        <f>'2_Cleaned_Data'!F141</f>
        <v>4312</v>
      </c>
      <c r="D142" s="26">
        <f>'2_Cleaned_Data'!G141</f>
        <v>0.16900000000000001</v>
      </c>
      <c r="E142" s="26">
        <f>'2_Cleaned_Data'!I141</f>
        <v>90.2</v>
      </c>
      <c r="F142" s="26">
        <f>IF('2_Cleaned_Data'!D141="Airport",1,0)</f>
        <v>0</v>
      </c>
      <c r="G142" s="26">
        <f>IF('2_Cleaned_Data'!D141="High Street",1,0)</f>
        <v>0</v>
      </c>
      <c r="H142" s="26">
        <f>IF('2_Cleaned_Data'!D141="Mall",1,0)</f>
        <v>0</v>
      </c>
    </row>
    <row r="143" spans="1:8" x14ac:dyDescent="0.45">
      <c r="A143" s="25">
        <f>'2_Cleaned_Data'!M142</f>
        <v>537058.32999999996</v>
      </c>
      <c r="B143" s="25">
        <f>'2_Cleaned_Data'!E142</f>
        <v>50909.27</v>
      </c>
      <c r="C143" s="26">
        <f>'2_Cleaned_Data'!F142</f>
        <v>3152</v>
      </c>
      <c r="D143" s="26">
        <f>'2_Cleaned_Data'!G142</f>
        <v>0.06</v>
      </c>
      <c r="E143" s="26">
        <f>'2_Cleaned_Data'!I142</f>
        <v>93.7</v>
      </c>
      <c r="F143" s="26">
        <f>IF('2_Cleaned_Data'!D142="Airport",1,0)</f>
        <v>0</v>
      </c>
      <c r="G143" s="26">
        <f>IF('2_Cleaned_Data'!D142="High Street",1,0)</f>
        <v>0</v>
      </c>
      <c r="H143" s="26">
        <f>IF('2_Cleaned_Data'!D142="Mall",1,0)</f>
        <v>0</v>
      </c>
    </row>
    <row r="144" spans="1:8" x14ac:dyDescent="0.45">
      <c r="A144" s="25">
        <f>'2_Cleaned_Data'!M143</f>
        <v>601568.87</v>
      </c>
      <c r="B144" s="25">
        <f>'2_Cleaned_Data'!E143</f>
        <v>53351.7</v>
      </c>
      <c r="C144" s="26">
        <f>'2_Cleaned_Data'!F143</f>
        <v>4259</v>
      </c>
      <c r="D144" s="26">
        <f>'2_Cleaned_Data'!G143</f>
        <v>0.156</v>
      </c>
      <c r="E144" s="26">
        <f>'2_Cleaned_Data'!I143</f>
        <v>93.7</v>
      </c>
      <c r="F144" s="26">
        <f>IF('2_Cleaned_Data'!D143="Airport",1,0)</f>
        <v>0</v>
      </c>
      <c r="G144" s="26">
        <f>IF('2_Cleaned_Data'!D143="High Street",1,0)</f>
        <v>0</v>
      </c>
      <c r="H144" s="26">
        <f>IF('2_Cleaned_Data'!D143="Mall",1,0)</f>
        <v>0</v>
      </c>
    </row>
    <row r="145" spans="1:8" x14ac:dyDescent="0.45">
      <c r="A145" s="25">
        <f>'2_Cleaned_Data'!M144</f>
        <v>570964.84</v>
      </c>
      <c r="B145" s="25">
        <f>'2_Cleaned_Data'!E144</f>
        <v>60322.400000000001</v>
      </c>
      <c r="C145" s="26">
        <f>'2_Cleaned_Data'!F144</f>
        <v>3350</v>
      </c>
      <c r="D145" s="26">
        <f>'2_Cleaned_Data'!G144</f>
        <v>0.108</v>
      </c>
      <c r="E145" s="26">
        <f>'2_Cleaned_Data'!I144</f>
        <v>89.4</v>
      </c>
      <c r="F145" s="26">
        <f>IF('2_Cleaned_Data'!D144="Airport",1,0)</f>
        <v>0</v>
      </c>
      <c r="G145" s="26">
        <f>IF('2_Cleaned_Data'!D144="High Street",1,0)</f>
        <v>0</v>
      </c>
      <c r="H145" s="26">
        <f>IF('2_Cleaned_Data'!D144="Mall",1,0)</f>
        <v>0</v>
      </c>
    </row>
    <row r="146" spans="1:8" x14ac:dyDescent="0.45">
      <c r="A146" s="25">
        <f>'2_Cleaned_Data'!M145</f>
        <v>614024.91</v>
      </c>
      <c r="B146" s="25">
        <f>'2_Cleaned_Data'!E145</f>
        <v>51575.68</v>
      </c>
      <c r="C146" s="26">
        <f>'2_Cleaned_Data'!F145</f>
        <v>5329</v>
      </c>
      <c r="D146" s="26">
        <f>'2_Cleaned_Data'!G145</f>
        <v>4.7E-2</v>
      </c>
      <c r="E146" s="26">
        <f>'2_Cleaned_Data'!I145</f>
        <v>88.1</v>
      </c>
      <c r="F146" s="26">
        <f>IF('2_Cleaned_Data'!D145="Airport",1,0)</f>
        <v>0</v>
      </c>
      <c r="G146" s="26">
        <f>IF('2_Cleaned_Data'!D145="High Street",1,0)</f>
        <v>0</v>
      </c>
      <c r="H146" s="26">
        <f>IF('2_Cleaned_Data'!D145="Mall",1,0)</f>
        <v>1</v>
      </c>
    </row>
    <row r="147" spans="1:8" x14ac:dyDescent="0.45">
      <c r="A147" s="25">
        <f>'2_Cleaned_Data'!M146</f>
        <v>712868.35</v>
      </c>
      <c r="B147" s="25">
        <f>'2_Cleaned_Data'!E146</f>
        <v>43319.94</v>
      </c>
      <c r="C147" s="26">
        <f>'2_Cleaned_Data'!F146</f>
        <v>6551</v>
      </c>
      <c r="D147" s="26">
        <f>'2_Cleaned_Data'!G146</f>
        <v>4.3999999999999997E-2</v>
      </c>
      <c r="E147" s="26">
        <f>'2_Cleaned_Data'!I146</f>
        <v>99</v>
      </c>
      <c r="F147" s="26">
        <f>IF('2_Cleaned_Data'!D146="Airport",1,0)</f>
        <v>0</v>
      </c>
      <c r="G147" s="26">
        <f>IF('2_Cleaned_Data'!D146="High Street",1,0)</f>
        <v>0</v>
      </c>
      <c r="H147" s="26">
        <f>IF('2_Cleaned_Data'!D146="Mall",1,0)</f>
        <v>1</v>
      </c>
    </row>
    <row r="148" spans="1:8" x14ac:dyDescent="0.45">
      <c r="A148" s="25">
        <f>'2_Cleaned_Data'!M147</f>
        <v>696744.15</v>
      </c>
      <c r="B148" s="25">
        <f>'2_Cleaned_Data'!E147</f>
        <v>47093.55</v>
      </c>
      <c r="C148" s="26">
        <f>'2_Cleaned_Data'!F147</f>
        <v>5550</v>
      </c>
      <c r="D148" s="26">
        <f>'2_Cleaned_Data'!G147</f>
        <v>0.1</v>
      </c>
      <c r="E148" s="26">
        <f>'2_Cleaned_Data'!I147</f>
        <v>95</v>
      </c>
      <c r="F148" s="26">
        <f>IF('2_Cleaned_Data'!D147="Airport",1,0)</f>
        <v>0</v>
      </c>
      <c r="G148" s="26">
        <f>IF('2_Cleaned_Data'!D147="High Street",1,0)</f>
        <v>0</v>
      </c>
      <c r="H148" s="26">
        <f>IF('2_Cleaned_Data'!D147="Mall",1,0)</f>
        <v>1</v>
      </c>
    </row>
    <row r="149" spans="1:8" x14ac:dyDescent="0.45">
      <c r="A149" s="25">
        <f>'2_Cleaned_Data'!M148</f>
        <v>725847.99</v>
      </c>
      <c r="B149" s="25">
        <f>'2_Cleaned_Data'!E148</f>
        <v>71855.09</v>
      </c>
      <c r="C149" s="26">
        <f>'2_Cleaned_Data'!F148</f>
        <v>5911</v>
      </c>
      <c r="D149" s="26">
        <f>'2_Cleaned_Data'!G148</f>
        <v>0.19700000000000001</v>
      </c>
      <c r="E149" s="26">
        <f>'2_Cleaned_Data'!I148</f>
        <v>94.3</v>
      </c>
      <c r="F149" s="26">
        <f>IF('2_Cleaned_Data'!D148="Airport",1,0)</f>
        <v>0</v>
      </c>
      <c r="G149" s="26">
        <f>IF('2_Cleaned_Data'!D148="High Street",1,0)</f>
        <v>0</v>
      </c>
      <c r="H149" s="26">
        <f>IF('2_Cleaned_Data'!D148="Mall",1,0)</f>
        <v>1</v>
      </c>
    </row>
    <row r="150" spans="1:8" x14ac:dyDescent="0.45">
      <c r="A150" s="25">
        <f>'2_Cleaned_Data'!M149</f>
        <v>785028.25</v>
      </c>
      <c r="B150" s="25">
        <f>'2_Cleaned_Data'!E149</f>
        <v>75645.23</v>
      </c>
      <c r="C150" s="26">
        <f>'2_Cleaned_Data'!F149</f>
        <v>9674</v>
      </c>
      <c r="D150" s="26">
        <f>'2_Cleaned_Data'!G149</f>
        <v>0.23400000000000001</v>
      </c>
      <c r="E150" s="26">
        <f>'2_Cleaned_Data'!I149</f>
        <v>87.4</v>
      </c>
      <c r="F150" s="26">
        <f>IF('2_Cleaned_Data'!D149="Airport",1,0)</f>
        <v>0</v>
      </c>
      <c r="G150" s="26">
        <f>IF('2_Cleaned_Data'!D149="High Street",1,0)</f>
        <v>1</v>
      </c>
      <c r="H150" s="26">
        <f>IF('2_Cleaned_Data'!D149="Mall",1,0)</f>
        <v>0</v>
      </c>
    </row>
    <row r="151" spans="1:8" x14ac:dyDescent="0.45">
      <c r="A151" s="25">
        <f>'2_Cleaned_Data'!M150</f>
        <v>698492.67</v>
      </c>
      <c r="B151" s="25">
        <f>'2_Cleaned_Data'!E150</f>
        <v>64374.75</v>
      </c>
      <c r="C151" s="26">
        <f>'2_Cleaned_Data'!F150</f>
        <v>6740</v>
      </c>
      <c r="D151" s="26">
        <f>'2_Cleaned_Data'!G150</f>
        <v>0.16900000000000001</v>
      </c>
      <c r="E151" s="26">
        <f>'2_Cleaned_Data'!I150</f>
        <v>87</v>
      </c>
      <c r="F151" s="26">
        <f>IF('2_Cleaned_Data'!D150="Airport",1,0)</f>
        <v>0</v>
      </c>
      <c r="G151" s="26">
        <f>IF('2_Cleaned_Data'!D150="High Street",1,0)</f>
        <v>1</v>
      </c>
      <c r="H151" s="26">
        <f>IF('2_Cleaned_Data'!D150="Mall",1,0)</f>
        <v>0</v>
      </c>
    </row>
    <row r="152" spans="1:8" x14ac:dyDescent="0.45">
      <c r="A152" s="25">
        <f>'2_Cleaned_Data'!M151</f>
        <v>685830.24</v>
      </c>
      <c r="B152" s="25">
        <f>'2_Cleaned_Data'!E151</f>
        <v>61433.84</v>
      </c>
      <c r="C152" s="26">
        <f>'2_Cleaned_Data'!F151</f>
        <v>7745</v>
      </c>
      <c r="D152" s="26">
        <f>'2_Cleaned_Data'!G151</f>
        <v>0.18</v>
      </c>
      <c r="E152" s="26">
        <f>'2_Cleaned_Data'!I151</f>
        <v>90.5</v>
      </c>
      <c r="F152" s="26">
        <f>IF('2_Cleaned_Data'!D151="Airport",1,0)</f>
        <v>0</v>
      </c>
      <c r="G152" s="26">
        <f>IF('2_Cleaned_Data'!D151="High Street",1,0)</f>
        <v>1</v>
      </c>
      <c r="H152" s="26">
        <f>IF('2_Cleaned_Data'!D151="Mall",1,0)</f>
        <v>0</v>
      </c>
    </row>
    <row r="153" spans="1:8" x14ac:dyDescent="0.45">
      <c r="A153" s="25">
        <f>'2_Cleaned_Data'!M152</f>
        <v>702318.94</v>
      </c>
      <c r="B153" s="25">
        <f>'2_Cleaned_Data'!E152</f>
        <v>42698.14</v>
      </c>
      <c r="C153" s="26">
        <f>'2_Cleaned_Data'!F152</f>
        <v>7693</v>
      </c>
      <c r="D153" s="26">
        <f>'2_Cleaned_Data'!G152</f>
        <v>0.187</v>
      </c>
      <c r="E153" s="26">
        <f>'2_Cleaned_Data'!I152</f>
        <v>90.1</v>
      </c>
      <c r="F153" s="26">
        <f>IF('2_Cleaned_Data'!D152="Airport",1,0)</f>
        <v>0</v>
      </c>
      <c r="G153" s="26">
        <f>IF('2_Cleaned_Data'!D152="High Street",1,0)</f>
        <v>1</v>
      </c>
      <c r="H153" s="26">
        <f>IF('2_Cleaned_Data'!D152="Mall",1,0)</f>
        <v>0</v>
      </c>
    </row>
    <row r="154" spans="1:8" x14ac:dyDescent="0.45">
      <c r="A154" s="25">
        <f>'2_Cleaned_Data'!M153</f>
        <v>700078.32</v>
      </c>
      <c r="B154" s="25">
        <f>'2_Cleaned_Data'!E153</f>
        <v>86883.31</v>
      </c>
      <c r="C154" s="26">
        <f>'2_Cleaned_Data'!F153</f>
        <v>6424</v>
      </c>
      <c r="D154" s="26">
        <f>'2_Cleaned_Data'!G153</f>
        <v>5.7000000000000002E-2</v>
      </c>
      <c r="E154" s="26">
        <f>'2_Cleaned_Data'!I153</f>
        <v>85.2</v>
      </c>
      <c r="F154" s="26">
        <f>IF('2_Cleaned_Data'!D153="Airport",1,0)</f>
        <v>0</v>
      </c>
      <c r="G154" s="26">
        <f>IF('2_Cleaned_Data'!D153="High Street",1,0)</f>
        <v>0</v>
      </c>
      <c r="H154" s="26">
        <f>IF('2_Cleaned_Data'!D153="Mall",1,0)</f>
        <v>1</v>
      </c>
    </row>
    <row r="155" spans="1:8" x14ac:dyDescent="0.45">
      <c r="A155" s="25">
        <f>'2_Cleaned_Data'!M154</f>
        <v>602002.31999999995</v>
      </c>
      <c r="B155" s="25">
        <f>'2_Cleaned_Data'!E154</f>
        <v>41863.08</v>
      </c>
      <c r="C155" s="26">
        <f>'2_Cleaned_Data'!F154</f>
        <v>5400</v>
      </c>
      <c r="D155" s="26">
        <f>'2_Cleaned_Data'!G154</f>
        <v>0.114</v>
      </c>
      <c r="E155" s="26">
        <f>'2_Cleaned_Data'!I154</f>
        <v>91.6</v>
      </c>
      <c r="F155" s="26">
        <f>IF('2_Cleaned_Data'!D154="Airport",1,0)</f>
        <v>0</v>
      </c>
      <c r="G155" s="26">
        <f>IF('2_Cleaned_Data'!D154="High Street",1,0)</f>
        <v>0</v>
      </c>
      <c r="H155" s="26">
        <f>IF('2_Cleaned_Data'!D154="Mall",1,0)</f>
        <v>1</v>
      </c>
    </row>
    <row r="156" spans="1:8" x14ac:dyDescent="0.45">
      <c r="A156" s="25">
        <f>'2_Cleaned_Data'!M155</f>
        <v>724216.07</v>
      </c>
      <c r="B156" s="25">
        <f>'2_Cleaned_Data'!E155</f>
        <v>56918.16</v>
      </c>
      <c r="C156" s="26">
        <f>'2_Cleaned_Data'!F155</f>
        <v>7015</v>
      </c>
      <c r="D156" s="26">
        <f>'2_Cleaned_Data'!G155</f>
        <v>0.158</v>
      </c>
      <c r="E156" s="26">
        <f>'2_Cleaned_Data'!I155</f>
        <v>74.2</v>
      </c>
      <c r="F156" s="26">
        <f>IF('2_Cleaned_Data'!D155="Airport",1,0)</f>
        <v>0</v>
      </c>
      <c r="G156" s="26">
        <f>IF('2_Cleaned_Data'!D155="High Street",1,0)</f>
        <v>0</v>
      </c>
      <c r="H156" s="26">
        <f>IF('2_Cleaned_Data'!D155="Mall",1,0)</f>
        <v>1</v>
      </c>
    </row>
    <row r="157" spans="1:8" x14ac:dyDescent="0.45">
      <c r="A157" s="25">
        <f>'2_Cleaned_Data'!M156</f>
        <v>620973.03</v>
      </c>
      <c r="B157" s="25">
        <f>'2_Cleaned_Data'!E156</f>
        <v>23254.57</v>
      </c>
      <c r="C157" s="26">
        <f>'2_Cleaned_Data'!F156</f>
        <v>3847</v>
      </c>
      <c r="D157" s="26">
        <f>'2_Cleaned_Data'!G156</f>
        <v>0.159</v>
      </c>
      <c r="E157" s="26">
        <f>'2_Cleaned_Data'!I156</f>
        <v>93</v>
      </c>
      <c r="F157" s="26">
        <f>IF('2_Cleaned_Data'!D156="Airport",1,0)</f>
        <v>0</v>
      </c>
      <c r="G157" s="26">
        <f>IF('2_Cleaned_Data'!D156="High Street",1,0)</f>
        <v>0</v>
      </c>
      <c r="H157" s="26">
        <f>IF('2_Cleaned_Data'!D156="Mall",1,0)</f>
        <v>1</v>
      </c>
    </row>
    <row r="158" spans="1:8" x14ac:dyDescent="0.45">
      <c r="A158" s="25">
        <f>'2_Cleaned_Data'!M157</f>
        <v>650480.06000000006</v>
      </c>
      <c r="B158" s="25">
        <f>'2_Cleaned_Data'!E157</f>
        <v>41443.410000000003</v>
      </c>
      <c r="C158" s="26">
        <f>'2_Cleaned_Data'!F157</f>
        <v>7455</v>
      </c>
      <c r="D158" s="26">
        <f>'2_Cleaned_Data'!G157</f>
        <v>0.17499999999999999</v>
      </c>
      <c r="E158" s="26">
        <f>'2_Cleaned_Data'!I157</f>
        <v>90.1</v>
      </c>
      <c r="F158" s="26">
        <f>IF('2_Cleaned_Data'!D157="Airport",1,0)</f>
        <v>0</v>
      </c>
      <c r="G158" s="26">
        <f>IF('2_Cleaned_Data'!D157="High Street",1,0)</f>
        <v>1</v>
      </c>
      <c r="H158" s="26">
        <f>IF('2_Cleaned_Data'!D157="Mall",1,0)</f>
        <v>0</v>
      </c>
    </row>
    <row r="159" spans="1:8" x14ac:dyDescent="0.45">
      <c r="A159" s="25">
        <f>'2_Cleaned_Data'!M158</f>
        <v>778298.88</v>
      </c>
      <c r="B159" s="25">
        <f>'2_Cleaned_Data'!E158</f>
        <v>48438.85</v>
      </c>
      <c r="C159" s="26">
        <f>'2_Cleaned_Data'!F158</f>
        <v>6992</v>
      </c>
      <c r="D159" s="26">
        <f>'2_Cleaned_Data'!G158</f>
        <v>3.4000000000000002E-2</v>
      </c>
      <c r="E159" s="26">
        <f>'2_Cleaned_Data'!I158</f>
        <v>91</v>
      </c>
      <c r="F159" s="26">
        <f>IF('2_Cleaned_Data'!D158="Airport",1,0)</f>
        <v>0</v>
      </c>
      <c r="G159" s="26">
        <f>IF('2_Cleaned_Data'!D158="High Street",1,0)</f>
        <v>1</v>
      </c>
      <c r="H159" s="26">
        <f>IF('2_Cleaned_Data'!D158="Mall",1,0)</f>
        <v>0</v>
      </c>
    </row>
    <row r="160" spans="1:8" x14ac:dyDescent="0.45">
      <c r="A160" s="25">
        <f>'2_Cleaned_Data'!M159</f>
        <v>692008.64</v>
      </c>
      <c r="B160" s="25">
        <f>'2_Cleaned_Data'!E159</f>
        <v>66870.62</v>
      </c>
      <c r="C160" s="26">
        <f>'2_Cleaned_Data'!F159</f>
        <v>6055</v>
      </c>
      <c r="D160" s="26">
        <f>'2_Cleaned_Data'!G159</f>
        <v>7.4999999999999997E-2</v>
      </c>
      <c r="E160" s="26">
        <f>'2_Cleaned_Data'!I159</f>
        <v>93.8</v>
      </c>
      <c r="F160" s="26">
        <f>IF('2_Cleaned_Data'!D159="Airport",1,0)</f>
        <v>0</v>
      </c>
      <c r="G160" s="26">
        <f>IF('2_Cleaned_Data'!D159="High Street",1,0)</f>
        <v>1</v>
      </c>
      <c r="H160" s="26">
        <f>IF('2_Cleaned_Data'!D159="Mall",1,0)</f>
        <v>0</v>
      </c>
    </row>
    <row r="161" spans="1:8" x14ac:dyDescent="0.45">
      <c r="A161" s="25">
        <f>'2_Cleaned_Data'!M160</f>
        <v>825797.91</v>
      </c>
      <c r="B161" s="25">
        <f>'2_Cleaned_Data'!E160</f>
        <v>72150.53</v>
      </c>
      <c r="C161" s="26">
        <f>'2_Cleaned_Data'!F160</f>
        <v>9323</v>
      </c>
      <c r="D161" s="26">
        <f>'2_Cleaned_Data'!G160</f>
        <v>0.157</v>
      </c>
      <c r="E161" s="26">
        <f>'2_Cleaned_Data'!I160</f>
        <v>82.9</v>
      </c>
      <c r="F161" s="26">
        <f>IF('2_Cleaned_Data'!D160="Airport",1,0)</f>
        <v>0</v>
      </c>
      <c r="G161" s="26">
        <f>IF('2_Cleaned_Data'!D160="High Street",1,0)</f>
        <v>0</v>
      </c>
      <c r="H161" s="26">
        <f>IF('2_Cleaned_Data'!D160="Mall",1,0)</f>
        <v>1</v>
      </c>
    </row>
    <row r="162" spans="1:8" x14ac:dyDescent="0.45">
      <c r="A162" s="25">
        <f>'2_Cleaned_Data'!M161</f>
        <v>706285.52</v>
      </c>
      <c r="B162" s="25">
        <f>'2_Cleaned_Data'!E161</f>
        <v>35303.300000000003</v>
      </c>
      <c r="C162" s="26">
        <f>'2_Cleaned_Data'!F161</f>
        <v>8789</v>
      </c>
      <c r="D162" s="26">
        <f>'2_Cleaned_Data'!G161</f>
        <v>0.123</v>
      </c>
      <c r="E162" s="26">
        <f>'2_Cleaned_Data'!I161</f>
        <v>86.1</v>
      </c>
      <c r="F162" s="26">
        <f>IF('2_Cleaned_Data'!D161="Airport",1,0)</f>
        <v>0</v>
      </c>
      <c r="G162" s="26">
        <f>IF('2_Cleaned_Data'!D161="High Street",1,0)</f>
        <v>0</v>
      </c>
      <c r="H162" s="26">
        <f>IF('2_Cleaned_Data'!D161="Mall",1,0)</f>
        <v>1</v>
      </c>
    </row>
    <row r="163" spans="1:8" x14ac:dyDescent="0.45">
      <c r="A163" s="25">
        <f>'2_Cleaned_Data'!M162</f>
        <v>665534.69999999995</v>
      </c>
      <c r="B163" s="25">
        <f>'2_Cleaned_Data'!E162</f>
        <v>30301.86</v>
      </c>
      <c r="C163" s="26">
        <f>'2_Cleaned_Data'!F162</f>
        <v>6939</v>
      </c>
      <c r="D163" s="26">
        <f>'2_Cleaned_Data'!G162</f>
        <v>0.09</v>
      </c>
      <c r="E163" s="26">
        <f>'2_Cleaned_Data'!I162</f>
        <v>90.3</v>
      </c>
      <c r="F163" s="26">
        <f>IF('2_Cleaned_Data'!D162="Airport",1,0)</f>
        <v>0</v>
      </c>
      <c r="G163" s="26">
        <f>IF('2_Cleaned_Data'!D162="High Street",1,0)</f>
        <v>0</v>
      </c>
      <c r="H163" s="26">
        <f>IF('2_Cleaned_Data'!D162="Mall",1,0)</f>
        <v>1</v>
      </c>
    </row>
    <row r="164" spans="1:8" x14ac:dyDescent="0.45">
      <c r="A164" s="25">
        <f>'2_Cleaned_Data'!M163</f>
        <v>820729.29</v>
      </c>
      <c r="B164" s="25">
        <f>'2_Cleaned_Data'!E163</f>
        <v>78432.14</v>
      </c>
      <c r="C164" s="26">
        <f>'2_Cleaned_Data'!F163</f>
        <v>9440</v>
      </c>
      <c r="D164" s="26">
        <f>'2_Cleaned_Data'!G163</f>
        <v>0.126</v>
      </c>
      <c r="E164" s="26">
        <f>'2_Cleaned_Data'!I163</f>
        <v>89.2</v>
      </c>
      <c r="F164" s="26">
        <f>IF('2_Cleaned_Data'!D163="Airport",1,0)</f>
        <v>0</v>
      </c>
      <c r="G164" s="26">
        <f>IF('2_Cleaned_Data'!D163="High Street",1,0)</f>
        <v>0</v>
      </c>
      <c r="H164" s="26">
        <f>IF('2_Cleaned_Data'!D163="Mall",1,0)</f>
        <v>1</v>
      </c>
    </row>
    <row r="165" spans="1:8" x14ac:dyDescent="0.45">
      <c r="A165" s="25">
        <f>'2_Cleaned_Data'!M164</f>
        <v>739831.73</v>
      </c>
      <c r="B165" s="25">
        <f>'2_Cleaned_Data'!E164</f>
        <v>62059.18</v>
      </c>
      <c r="C165" s="26">
        <f>'2_Cleaned_Data'!F164</f>
        <v>9374</v>
      </c>
      <c r="D165" s="26">
        <f>'2_Cleaned_Data'!G164</f>
        <v>0.13600000000000001</v>
      </c>
      <c r="E165" s="26">
        <f>'2_Cleaned_Data'!I164</f>
        <v>87.1</v>
      </c>
      <c r="F165" s="26">
        <f>IF('2_Cleaned_Data'!D164="Airport",1,0)</f>
        <v>0</v>
      </c>
      <c r="G165" s="26">
        <f>IF('2_Cleaned_Data'!D164="High Street",1,0)</f>
        <v>0</v>
      </c>
      <c r="H165" s="26">
        <f>IF('2_Cleaned_Data'!D164="Mall",1,0)</f>
        <v>0</v>
      </c>
    </row>
    <row r="166" spans="1:8" x14ac:dyDescent="0.45">
      <c r="A166" s="25">
        <f>'2_Cleaned_Data'!M165</f>
        <v>593637.14</v>
      </c>
      <c r="B166" s="25">
        <f>'2_Cleaned_Data'!E165</f>
        <v>32834.480000000003</v>
      </c>
      <c r="C166" s="26">
        <f>'2_Cleaned_Data'!F165</f>
        <v>7576</v>
      </c>
      <c r="D166" s="26">
        <f>'2_Cleaned_Data'!G165</f>
        <v>9.9000000000000005E-2</v>
      </c>
      <c r="E166" s="26">
        <f>'2_Cleaned_Data'!I165</f>
        <v>84.1</v>
      </c>
      <c r="F166" s="26">
        <f>IF('2_Cleaned_Data'!D165="Airport",1,0)</f>
        <v>0</v>
      </c>
      <c r="G166" s="26">
        <f>IF('2_Cleaned_Data'!D165="High Street",1,0)</f>
        <v>0</v>
      </c>
      <c r="H166" s="26">
        <f>IF('2_Cleaned_Data'!D165="Mall",1,0)</f>
        <v>0</v>
      </c>
    </row>
    <row r="167" spans="1:8" x14ac:dyDescent="0.45">
      <c r="A167" s="25">
        <f>'2_Cleaned_Data'!M166</f>
        <v>769702.76</v>
      </c>
      <c r="B167" s="25">
        <f>'2_Cleaned_Data'!E166</f>
        <v>50825.08</v>
      </c>
      <c r="C167" s="26">
        <f>'2_Cleaned_Data'!F166</f>
        <v>8949</v>
      </c>
      <c r="D167" s="26">
        <f>'2_Cleaned_Data'!G166</f>
        <v>0.157</v>
      </c>
      <c r="E167" s="26">
        <f>'2_Cleaned_Data'!I166</f>
        <v>84.7</v>
      </c>
      <c r="F167" s="26">
        <f>IF('2_Cleaned_Data'!D166="Airport",1,0)</f>
        <v>0</v>
      </c>
      <c r="G167" s="26">
        <f>IF('2_Cleaned_Data'!D166="High Street",1,0)</f>
        <v>0</v>
      </c>
      <c r="H167" s="26">
        <f>IF('2_Cleaned_Data'!D166="Mall",1,0)</f>
        <v>0</v>
      </c>
    </row>
    <row r="168" spans="1:8" x14ac:dyDescent="0.45">
      <c r="A168" s="25">
        <f>'2_Cleaned_Data'!M167</f>
        <v>679731.57</v>
      </c>
      <c r="B168" s="25">
        <f>'2_Cleaned_Data'!E167</f>
        <v>36606.51</v>
      </c>
      <c r="C168" s="26">
        <f>'2_Cleaned_Data'!F167</f>
        <v>7671</v>
      </c>
      <c r="D168" s="26">
        <f>'2_Cleaned_Data'!G167</f>
        <v>0.11799999999999999</v>
      </c>
      <c r="E168" s="26">
        <f>'2_Cleaned_Data'!I167</f>
        <v>89.8</v>
      </c>
      <c r="F168" s="26">
        <f>IF('2_Cleaned_Data'!D167="Airport",1,0)</f>
        <v>0</v>
      </c>
      <c r="G168" s="26">
        <f>IF('2_Cleaned_Data'!D167="High Street",1,0)</f>
        <v>0</v>
      </c>
      <c r="H168" s="26">
        <f>IF('2_Cleaned_Data'!D167="Mall",1,0)</f>
        <v>0</v>
      </c>
    </row>
    <row r="169" spans="1:8" x14ac:dyDescent="0.45">
      <c r="A169" s="25">
        <f>'2_Cleaned_Data'!M168</f>
        <v>780344.18</v>
      </c>
      <c r="B169" s="25">
        <f>'2_Cleaned_Data'!E168</f>
        <v>65237.79</v>
      </c>
      <c r="C169" s="26">
        <f>'2_Cleaned_Data'!F168</f>
        <v>8741</v>
      </c>
      <c r="D169" s="26">
        <f>'2_Cleaned_Data'!G168</f>
        <v>0.157</v>
      </c>
      <c r="E169" s="26">
        <f>'2_Cleaned_Data'!I168</f>
        <v>94.4</v>
      </c>
      <c r="F169" s="26">
        <f>IF('2_Cleaned_Data'!D168="Airport",1,0)</f>
        <v>0</v>
      </c>
      <c r="G169" s="26">
        <f>IF('2_Cleaned_Data'!D168="High Street",1,0)</f>
        <v>0</v>
      </c>
      <c r="H169" s="26">
        <f>IF('2_Cleaned_Data'!D168="Mall",1,0)</f>
        <v>0</v>
      </c>
    </row>
    <row r="170" spans="1:8" x14ac:dyDescent="0.45">
      <c r="A170" s="25">
        <f>'2_Cleaned_Data'!M169</f>
        <v>721364.11</v>
      </c>
      <c r="B170" s="25">
        <f>'2_Cleaned_Data'!E169</f>
        <v>43645.98</v>
      </c>
      <c r="C170" s="26">
        <f>'2_Cleaned_Data'!F169</f>
        <v>9480</v>
      </c>
      <c r="D170" s="26">
        <f>'2_Cleaned_Data'!G169</f>
        <v>0.109</v>
      </c>
      <c r="E170" s="26">
        <f>'2_Cleaned_Data'!I169</f>
        <v>89</v>
      </c>
      <c r="F170" s="26">
        <f>IF('2_Cleaned_Data'!D169="Airport",1,0)</f>
        <v>0</v>
      </c>
      <c r="G170" s="26">
        <f>IF('2_Cleaned_Data'!D169="High Street",1,0)</f>
        <v>0</v>
      </c>
      <c r="H170" s="26">
        <f>IF('2_Cleaned_Data'!D169="Mall",1,0)</f>
        <v>0</v>
      </c>
    </row>
    <row r="171" spans="1:8" x14ac:dyDescent="0.45">
      <c r="A171" s="25">
        <f>'2_Cleaned_Data'!M170</f>
        <v>758138.29</v>
      </c>
      <c r="B171" s="25">
        <f>'2_Cleaned_Data'!E170</f>
        <v>68040.149999999994</v>
      </c>
      <c r="C171" s="26">
        <f>'2_Cleaned_Data'!F170</f>
        <v>9826</v>
      </c>
      <c r="D171" s="26">
        <f>'2_Cleaned_Data'!G170</f>
        <v>0.125</v>
      </c>
      <c r="E171" s="26">
        <f>'2_Cleaned_Data'!I170</f>
        <v>83.9</v>
      </c>
      <c r="F171" s="26">
        <f>IF('2_Cleaned_Data'!D170="Airport",1,0)</f>
        <v>0</v>
      </c>
      <c r="G171" s="26">
        <f>IF('2_Cleaned_Data'!D170="High Street",1,0)</f>
        <v>0</v>
      </c>
      <c r="H171" s="26">
        <f>IF('2_Cleaned_Data'!D170="Mall",1,0)</f>
        <v>0</v>
      </c>
    </row>
    <row r="172" spans="1:8" x14ac:dyDescent="0.45">
      <c r="A172" s="25">
        <f>'2_Cleaned_Data'!M171</f>
        <v>804264</v>
      </c>
      <c r="B172" s="25">
        <f>'2_Cleaned_Data'!E171</f>
        <v>63043.94</v>
      </c>
      <c r="C172" s="26">
        <f>'2_Cleaned_Data'!F171</f>
        <v>10402</v>
      </c>
      <c r="D172" s="26">
        <f>'2_Cleaned_Data'!G171</f>
        <v>0.159</v>
      </c>
      <c r="E172" s="26">
        <f>'2_Cleaned_Data'!I171</f>
        <v>93.9</v>
      </c>
      <c r="F172" s="26">
        <f>IF('2_Cleaned_Data'!D171="Airport",1,0)</f>
        <v>0</v>
      </c>
      <c r="G172" s="26">
        <f>IF('2_Cleaned_Data'!D171="High Street",1,0)</f>
        <v>0</v>
      </c>
      <c r="H172" s="26">
        <f>IF('2_Cleaned_Data'!D171="Mall",1,0)</f>
        <v>0</v>
      </c>
    </row>
    <row r="173" spans="1:8" x14ac:dyDescent="0.45">
      <c r="A173" s="25">
        <f>'2_Cleaned_Data'!M172</f>
        <v>887537.75</v>
      </c>
      <c r="B173" s="25">
        <f>'2_Cleaned_Data'!E172</f>
        <v>67494.09</v>
      </c>
      <c r="C173" s="26">
        <f>'2_Cleaned_Data'!F172</f>
        <v>12361</v>
      </c>
      <c r="D173" s="26">
        <f>'2_Cleaned_Data'!G172</f>
        <v>4.5999999999999999E-2</v>
      </c>
      <c r="E173" s="26">
        <f>'2_Cleaned_Data'!I172</f>
        <v>76.599999999999994</v>
      </c>
      <c r="F173" s="26">
        <f>IF('2_Cleaned_Data'!D172="Airport",1,0)</f>
        <v>1</v>
      </c>
      <c r="G173" s="26">
        <f>IF('2_Cleaned_Data'!D172="High Street",1,0)</f>
        <v>0</v>
      </c>
      <c r="H173" s="26">
        <f>IF('2_Cleaned_Data'!D172="Mall",1,0)</f>
        <v>0</v>
      </c>
    </row>
    <row r="174" spans="1:8" x14ac:dyDescent="0.45">
      <c r="A174" s="25">
        <f>'2_Cleaned_Data'!M173</f>
        <v>783582</v>
      </c>
      <c r="B174" s="25">
        <f>'2_Cleaned_Data'!E173</f>
        <v>29389.32</v>
      </c>
      <c r="C174" s="26">
        <f>'2_Cleaned_Data'!F173</f>
        <v>7925</v>
      </c>
      <c r="D174" s="26">
        <f>'2_Cleaned_Data'!G173</f>
        <v>0.17699999999999999</v>
      </c>
      <c r="E174" s="26">
        <f>'2_Cleaned_Data'!I173</f>
        <v>90.9</v>
      </c>
      <c r="F174" s="26">
        <f>IF('2_Cleaned_Data'!D173="Airport",1,0)</f>
        <v>1</v>
      </c>
      <c r="G174" s="26">
        <f>IF('2_Cleaned_Data'!D173="High Street",1,0)</f>
        <v>0</v>
      </c>
      <c r="H174" s="26">
        <f>IF('2_Cleaned_Data'!D173="Mall",1,0)</f>
        <v>0</v>
      </c>
    </row>
    <row r="175" spans="1:8" x14ac:dyDescent="0.45">
      <c r="A175" s="25">
        <f>'2_Cleaned_Data'!M174</f>
        <v>781955.52</v>
      </c>
      <c r="B175" s="25">
        <f>'2_Cleaned_Data'!E174</f>
        <v>40535.089999999997</v>
      </c>
      <c r="C175" s="26">
        <f>'2_Cleaned_Data'!F174</f>
        <v>8870</v>
      </c>
      <c r="D175" s="26">
        <f>'2_Cleaned_Data'!G174</f>
        <v>4.1000000000000002E-2</v>
      </c>
      <c r="E175" s="26">
        <f>'2_Cleaned_Data'!I174</f>
        <v>86.6</v>
      </c>
      <c r="F175" s="26">
        <f>IF('2_Cleaned_Data'!D174="Airport",1,0)</f>
        <v>1</v>
      </c>
      <c r="G175" s="26">
        <f>IF('2_Cleaned_Data'!D174="High Street",1,0)</f>
        <v>0</v>
      </c>
      <c r="H175" s="26">
        <f>IF('2_Cleaned_Data'!D174="Mall",1,0)</f>
        <v>0</v>
      </c>
    </row>
    <row r="176" spans="1:8" x14ac:dyDescent="0.45">
      <c r="A176" s="25">
        <f>'2_Cleaned_Data'!M175</f>
        <v>898031.04</v>
      </c>
      <c r="B176" s="25">
        <f>'2_Cleaned_Data'!E175</f>
        <v>74881.56</v>
      </c>
      <c r="C176" s="26">
        <f>'2_Cleaned_Data'!F175</f>
        <v>9999</v>
      </c>
      <c r="D176" s="26">
        <f>'2_Cleaned_Data'!G175</f>
        <v>1.2999999999999999E-2</v>
      </c>
      <c r="E176" s="26">
        <f>'2_Cleaned_Data'!I175</f>
        <v>89.6</v>
      </c>
      <c r="F176" s="26">
        <f>IF('2_Cleaned_Data'!D175="Airport",1,0)</f>
        <v>1</v>
      </c>
      <c r="G176" s="26">
        <f>IF('2_Cleaned_Data'!D175="High Street",1,0)</f>
        <v>0</v>
      </c>
      <c r="H176" s="26">
        <f>IF('2_Cleaned_Data'!D175="Mall",1,0)</f>
        <v>0</v>
      </c>
    </row>
    <row r="177" spans="1:8" x14ac:dyDescent="0.45">
      <c r="A177" s="25">
        <f>'2_Cleaned_Data'!M176</f>
        <v>855341.28</v>
      </c>
      <c r="B177" s="25">
        <f>'2_Cleaned_Data'!E176</f>
        <v>68491.11</v>
      </c>
      <c r="C177" s="26">
        <f>'2_Cleaned_Data'!F176</f>
        <v>11154</v>
      </c>
      <c r="D177" s="26">
        <f>'2_Cleaned_Data'!G176</f>
        <v>1E-3</v>
      </c>
      <c r="E177" s="26">
        <f>'2_Cleaned_Data'!I176</f>
        <v>89.4</v>
      </c>
      <c r="F177" s="26">
        <f>IF('2_Cleaned_Data'!D176="Airport",1,0)</f>
        <v>0</v>
      </c>
      <c r="G177" s="26">
        <f>IF('2_Cleaned_Data'!D176="High Street",1,0)</f>
        <v>0</v>
      </c>
      <c r="H177" s="26">
        <f>IF('2_Cleaned_Data'!D176="Mall",1,0)</f>
        <v>0</v>
      </c>
    </row>
    <row r="178" spans="1:8" x14ac:dyDescent="0.45">
      <c r="A178" s="25">
        <f>'2_Cleaned_Data'!M177</f>
        <v>751393.88</v>
      </c>
      <c r="B178" s="25">
        <f>'2_Cleaned_Data'!E177</f>
        <v>45209.25</v>
      </c>
      <c r="C178" s="26">
        <f>'2_Cleaned_Data'!F177</f>
        <v>9287</v>
      </c>
      <c r="D178" s="26">
        <f>'2_Cleaned_Data'!G177</f>
        <v>0.14099999999999999</v>
      </c>
      <c r="E178" s="26">
        <f>'2_Cleaned_Data'!I177</f>
        <v>86.4</v>
      </c>
      <c r="F178" s="26">
        <f>IF('2_Cleaned_Data'!D177="Airport",1,0)</f>
        <v>0</v>
      </c>
      <c r="G178" s="26">
        <f>IF('2_Cleaned_Data'!D177="High Street",1,0)</f>
        <v>0</v>
      </c>
      <c r="H178" s="26">
        <f>IF('2_Cleaned_Data'!D177="Mall",1,0)</f>
        <v>0</v>
      </c>
    </row>
    <row r="179" spans="1:8" x14ac:dyDescent="0.45">
      <c r="A179" s="25">
        <f>'2_Cleaned_Data'!M178</f>
        <v>761077.08</v>
      </c>
      <c r="B179" s="25">
        <f>'2_Cleaned_Data'!E178</f>
        <v>63010.23</v>
      </c>
      <c r="C179" s="26">
        <f>'2_Cleaned_Data'!F178</f>
        <v>9812</v>
      </c>
      <c r="D179" s="26">
        <f>'2_Cleaned_Data'!G178</f>
        <v>0.113</v>
      </c>
      <c r="E179" s="26">
        <f>'2_Cleaned_Data'!I178</f>
        <v>76.8</v>
      </c>
      <c r="F179" s="26">
        <f>IF('2_Cleaned_Data'!D178="Airport",1,0)</f>
        <v>0</v>
      </c>
      <c r="G179" s="26">
        <f>IF('2_Cleaned_Data'!D178="High Street",1,0)</f>
        <v>0</v>
      </c>
      <c r="H179" s="26">
        <f>IF('2_Cleaned_Data'!D178="Mall",1,0)</f>
        <v>0</v>
      </c>
    </row>
    <row r="180" spans="1:8" x14ac:dyDescent="0.45">
      <c r="A180" s="25">
        <f>'2_Cleaned_Data'!M179</f>
        <v>819660.59</v>
      </c>
      <c r="B180" s="25">
        <f>'2_Cleaned_Data'!E179</f>
        <v>57948.88</v>
      </c>
      <c r="C180" s="26">
        <f>'2_Cleaned_Data'!F179</f>
        <v>10741</v>
      </c>
      <c r="D180" s="26">
        <f>'2_Cleaned_Data'!G179</f>
        <v>7.0000000000000007E-2</v>
      </c>
      <c r="E180" s="26">
        <f>'2_Cleaned_Data'!I179</f>
        <v>90.1</v>
      </c>
      <c r="F180" s="26">
        <f>IF('2_Cleaned_Data'!D179="Airport",1,0)</f>
        <v>0</v>
      </c>
      <c r="G180" s="26">
        <f>IF('2_Cleaned_Data'!D179="High Street",1,0)</f>
        <v>0</v>
      </c>
      <c r="H180" s="26">
        <f>IF('2_Cleaned_Data'!D179="Mall",1,0)</f>
        <v>0</v>
      </c>
    </row>
    <row r="181" spans="1:8" x14ac:dyDescent="0.45">
      <c r="A181" s="25">
        <f>'2_Cleaned_Data'!M180</f>
        <v>681855.56</v>
      </c>
      <c r="B181" s="25">
        <f>'2_Cleaned_Data'!E180</f>
        <v>71941.62</v>
      </c>
      <c r="C181" s="26">
        <f>'2_Cleaned_Data'!F180</f>
        <v>6084</v>
      </c>
      <c r="D181" s="26">
        <f>'2_Cleaned_Data'!G180</f>
        <v>7.1999999999999995E-2</v>
      </c>
      <c r="E181" s="26">
        <f>'2_Cleaned_Data'!I180</f>
        <v>93.7</v>
      </c>
      <c r="F181" s="26">
        <f>IF('2_Cleaned_Data'!D180="Airport",1,0)</f>
        <v>0</v>
      </c>
      <c r="G181" s="26">
        <f>IF('2_Cleaned_Data'!D180="High Street",1,0)</f>
        <v>1</v>
      </c>
      <c r="H181" s="26">
        <f>IF('2_Cleaned_Data'!D180="Mall",1,0)</f>
        <v>0</v>
      </c>
    </row>
    <row r="182" spans="1:8" x14ac:dyDescent="0.45">
      <c r="A182" s="25">
        <f>'2_Cleaned_Data'!M181</f>
        <v>678311.17</v>
      </c>
      <c r="B182" s="25">
        <f>'2_Cleaned_Data'!E181</f>
        <v>57147.88</v>
      </c>
      <c r="C182" s="26">
        <f>'2_Cleaned_Data'!F181</f>
        <v>5252</v>
      </c>
      <c r="D182" s="26">
        <f>'2_Cleaned_Data'!G181</f>
        <v>0.161</v>
      </c>
      <c r="E182" s="26">
        <f>'2_Cleaned_Data'!I181</f>
        <v>95.5</v>
      </c>
      <c r="F182" s="26">
        <f>IF('2_Cleaned_Data'!D181="Airport",1,0)</f>
        <v>0</v>
      </c>
      <c r="G182" s="26">
        <f>IF('2_Cleaned_Data'!D181="High Street",1,0)</f>
        <v>1</v>
      </c>
      <c r="H182" s="26">
        <f>IF('2_Cleaned_Data'!D181="Mall",1,0)</f>
        <v>0</v>
      </c>
    </row>
    <row r="183" spans="1:8" x14ac:dyDescent="0.45">
      <c r="A183" s="25">
        <f>'2_Cleaned_Data'!M182</f>
        <v>765906.95</v>
      </c>
      <c r="B183" s="25">
        <f>'2_Cleaned_Data'!E182</f>
        <v>48031.74</v>
      </c>
      <c r="C183" s="26">
        <f>'2_Cleaned_Data'!F182</f>
        <v>6516</v>
      </c>
      <c r="D183" s="26">
        <f>'2_Cleaned_Data'!G182</f>
        <v>6.7000000000000004E-2</v>
      </c>
      <c r="E183" s="26">
        <f>'2_Cleaned_Data'!I182</f>
        <v>99</v>
      </c>
      <c r="F183" s="26">
        <f>IF('2_Cleaned_Data'!D182="Airport",1,0)</f>
        <v>0</v>
      </c>
      <c r="G183" s="26">
        <f>IF('2_Cleaned_Data'!D182="High Street",1,0)</f>
        <v>1</v>
      </c>
      <c r="H183" s="26">
        <f>IF('2_Cleaned_Data'!D182="Mall",1,0)</f>
        <v>0</v>
      </c>
    </row>
    <row r="184" spans="1:8" x14ac:dyDescent="0.45">
      <c r="A184" s="25">
        <f>'2_Cleaned_Data'!M183</f>
        <v>712546.38</v>
      </c>
      <c r="B184" s="25">
        <f>'2_Cleaned_Data'!E183</f>
        <v>72784.800000000003</v>
      </c>
      <c r="C184" s="26">
        <f>'2_Cleaned_Data'!F183</f>
        <v>7932</v>
      </c>
      <c r="D184" s="26">
        <f>'2_Cleaned_Data'!G183</f>
        <v>9.4E-2</v>
      </c>
      <c r="E184" s="26">
        <f>'2_Cleaned_Data'!I183</f>
        <v>74.900000000000006</v>
      </c>
      <c r="F184" s="26">
        <f>IF('2_Cleaned_Data'!D183="Airport",1,0)</f>
        <v>0</v>
      </c>
      <c r="G184" s="26">
        <f>IF('2_Cleaned_Data'!D183="High Street",1,0)</f>
        <v>1</v>
      </c>
      <c r="H184" s="26">
        <f>IF('2_Cleaned_Data'!D183="Mall",1,0)</f>
        <v>0</v>
      </c>
    </row>
    <row r="185" spans="1:8" x14ac:dyDescent="0.45">
      <c r="A185" s="25">
        <f>'2_Cleaned_Data'!M184</f>
        <v>625993.82999999996</v>
      </c>
      <c r="B185" s="25">
        <f>'2_Cleaned_Data'!E184</f>
        <v>71641.899999999994</v>
      </c>
      <c r="C185" s="26">
        <f>'2_Cleaned_Data'!F184</f>
        <v>3506</v>
      </c>
      <c r="D185" s="26">
        <f>'2_Cleaned_Data'!G184</f>
        <v>0</v>
      </c>
      <c r="E185" s="26">
        <f>'2_Cleaned_Data'!I184</f>
        <v>86.4</v>
      </c>
      <c r="F185" s="26">
        <f>IF('2_Cleaned_Data'!D184="Airport",1,0)</f>
        <v>0</v>
      </c>
      <c r="G185" s="26">
        <f>IF('2_Cleaned_Data'!D184="High Street",1,0)</f>
        <v>1</v>
      </c>
      <c r="H185" s="26">
        <f>IF('2_Cleaned_Data'!D184="Mall",1,0)</f>
        <v>0</v>
      </c>
    </row>
    <row r="186" spans="1:8" x14ac:dyDescent="0.45">
      <c r="A186" s="25">
        <f>'2_Cleaned_Data'!M185</f>
        <v>550962.93000000005</v>
      </c>
      <c r="B186" s="25">
        <f>'2_Cleaned_Data'!E185</f>
        <v>55788.61</v>
      </c>
      <c r="C186" s="26">
        <f>'2_Cleaned_Data'!F185</f>
        <v>2312</v>
      </c>
      <c r="D186" s="26">
        <f>'2_Cleaned_Data'!G185</f>
        <v>5.8000000000000003E-2</v>
      </c>
      <c r="E186" s="26">
        <f>'2_Cleaned_Data'!I185</f>
        <v>91.3</v>
      </c>
      <c r="F186" s="26">
        <f>IF('2_Cleaned_Data'!D185="Airport",1,0)</f>
        <v>0</v>
      </c>
      <c r="G186" s="26">
        <f>IF('2_Cleaned_Data'!D185="High Street",1,0)</f>
        <v>1</v>
      </c>
      <c r="H186" s="26">
        <f>IF('2_Cleaned_Data'!D185="Mall",1,0)</f>
        <v>0</v>
      </c>
    </row>
    <row r="187" spans="1:8" x14ac:dyDescent="0.45">
      <c r="A187" s="25">
        <f>'2_Cleaned_Data'!M186</f>
        <v>443275.59</v>
      </c>
      <c r="B187" s="25">
        <f>'2_Cleaned_Data'!E186</f>
        <v>37705.879999999997</v>
      </c>
      <c r="C187" s="26">
        <f>'2_Cleaned_Data'!F186</f>
        <v>1268</v>
      </c>
      <c r="D187" s="26">
        <f>'2_Cleaned_Data'!G186</f>
        <v>0.25900000000000001</v>
      </c>
      <c r="E187" s="26">
        <f>'2_Cleaned_Data'!I186</f>
        <v>84.1</v>
      </c>
      <c r="F187" s="26">
        <f>IF('2_Cleaned_Data'!D186="Airport",1,0)</f>
        <v>0</v>
      </c>
      <c r="G187" s="26">
        <f>IF('2_Cleaned_Data'!D186="High Street",1,0)</f>
        <v>1</v>
      </c>
      <c r="H187" s="26">
        <f>IF('2_Cleaned_Data'!D186="Mall",1,0)</f>
        <v>0</v>
      </c>
    </row>
    <row r="188" spans="1:8" x14ac:dyDescent="0.45">
      <c r="A188" s="25">
        <f>'2_Cleaned_Data'!M187</f>
        <v>554012.06999999995</v>
      </c>
      <c r="B188" s="25">
        <f>'2_Cleaned_Data'!E187</f>
        <v>54966.18</v>
      </c>
      <c r="C188" s="26">
        <f>'2_Cleaned_Data'!F187</f>
        <v>4423</v>
      </c>
      <c r="D188" s="26">
        <f>'2_Cleaned_Data'!G187</f>
        <v>0.186</v>
      </c>
      <c r="E188" s="26">
        <f>'2_Cleaned_Data'!I187</f>
        <v>88.7</v>
      </c>
      <c r="F188" s="26">
        <f>IF('2_Cleaned_Data'!D187="Airport",1,0)</f>
        <v>0</v>
      </c>
      <c r="G188" s="26">
        <f>IF('2_Cleaned_Data'!D187="High Street",1,0)</f>
        <v>1</v>
      </c>
      <c r="H188" s="26">
        <f>IF('2_Cleaned_Data'!D187="Mall",1,0)</f>
        <v>0</v>
      </c>
    </row>
    <row r="189" spans="1:8" x14ac:dyDescent="0.45">
      <c r="A189" s="25">
        <f>'2_Cleaned_Data'!M188</f>
        <v>643428.85</v>
      </c>
      <c r="B189" s="25">
        <f>'2_Cleaned_Data'!E188</f>
        <v>81796.740000000005</v>
      </c>
      <c r="C189" s="26">
        <f>'2_Cleaned_Data'!F188</f>
        <v>6177</v>
      </c>
      <c r="D189" s="26">
        <f>'2_Cleaned_Data'!G188</f>
        <v>0.16400000000000001</v>
      </c>
      <c r="E189" s="26">
        <f>'2_Cleaned_Data'!I188</f>
        <v>87.9</v>
      </c>
      <c r="F189" s="26">
        <f>IF('2_Cleaned_Data'!D188="Airport",1,0)</f>
        <v>0</v>
      </c>
      <c r="G189" s="26">
        <f>IF('2_Cleaned_Data'!D188="High Street",1,0)</f>
        <v>0</v>
      </c>
      <c r="H189" s="26">
        <f>IF('2_Cleaned_Data'!D188="Mall",1,0)</f>
        <v>0</v>
      </c>
    </row>
    <row r="190" spans="1:8" x14ac:dyDescent="0.45">
      <c r="A190" s="25">
        <f>'2_Cleaned_Data'!M189</f>
        <v>611924.27</v>
      </c>
      <c r="B190" s="25">
        <f>'2_Cleaned_Data'!E189</f>
        <v>51133.43</v>
      </c>
      <c r="C190" s="26">
        <f>'2_Cleaned_Data'!F189</f>
        <v>5150</v>
      </c>
      <c r="D190" s="26">
        <f>'2_Cleaned_Data'!G189</f>
        <v>0.15</v>
      </c>
      <c r="E190" s="26">
        <f>'2_Cleaned_Data'!I189</f>
        <v>88.5</v>
      </c>
      <c r="F190" s="26">
        <f>IF('2_Cleaned_Data'!D189="Airport",1,0)</f>
        <v>0</v>
      </c>
      <c r="G190" s="26">
        <f>IF('2_Cleaned_Data'!D189="High Street",1,0)</f>
        <v>0</v>
      </c>
      <c r="H190" s="26">
        <f>IF('2_Cleaned_Data'!D189="Mall",1,0)</f>
        <v>0</v>
      </c>
    </row>
    <row r="191" spans="1:8" x14ac:dyDescent="0.45">
      <c r="A191" s="25">
        <f>'2_Cleaned_Data'!M190</f>
        <v>559422.02</v>
      </c>
      <c r="B191" s="25">
        <f>'2_Cleaned_Data'!E190</f>
        <v>40220.18</v>
      </c>
      <c r="C191" s="26">
        <f>'2_Cleaned_Data'!F190</f>
        <v>3783</v>
      </c>
      <c r="D191" s="26">
        <f>'2_Cleaned_Data'!G190</f>
        <v>8.8999999999999996E-2</v>
      </c>
      <c r="E191" s="26">
        <f>'2_Cleaned_Data'!I190</f>
        <v>86.6</v>
      </c>
      <c r="F191" s="26">
        <f>IF('2_Cleaned_Data'!D190="Airport",1,0)</f>
        <v>0</v>
      </c>
      <c r="G191" s="26">
        <f>IF('2_Cleaned_Data'!D190="High Street",1,0)</f>
        <v>0</v>
      </c>
      <c r="H191" s="26">
        <f>IF('2_Cleaned_Data'!D190="Mall",1,0)</f>
        <v>0</v>
      </c>
    </row>
    <row r="192" spans="1:8" x14ac:dyDescent="0.45">
      <c r="A192" s="25">
        <f>'2_Cleaned_Data'!M191</f>
        <v>691447.43</v>
      </c>
      <c r="B192" s="25">
        <f>'2_Cleaned_Data'!E191</f>
        <v>71851.45</v>
      </c>
      <c r="C192" s="26">
        <f>'2_Cleaned_Data'!F191</f>
        <v>4970</v>
      </c>
      <c r="D192" s="26">
        <f>'2_Cleaned_Data'!G191</f>
        <v>9.8000000000000004E-2</v>
      </c>
      <c r="E192" s="26">
        <f>'2_Cleaned_Data'!I191</f>
        <v>89.6</v>
      </c>
      <c r="F192" s="26">
        <f>IF('2_Cleaned_Data'!D191="Airport",1,0)</f>
        <v>0</v>
      </c>
      <c r="G192" s="26">
        <f>IF('2_Cleaned_Data'!D191="High Street",1,0)</f>
        <v>0</v>
      </c>
      <c r="H192" s="26">
        <f>IF('2_Cleaned_Data'!D191="Mall",1,0)</f>
        <v>0</v>
      </c>
    </row>
    <row r="193" spans="1:8" x14ac:dyDescent="0.45">
      <c r="A193" s="25">
        <f>'2_Cleaned_Data'!M192</f>
        <v>574066.61</v>
      </c>
      <c r="B193" s="25">
        <f>'2_Cleaned_Data'!E192</f>
        <v>54002.83</v>
      </c>
      <c r="C193" s="26">
        <f>'2_Cleaned_Data'!F192</f>
        <v>4366</v>
      </c>
      <c r="D193" s="26">
        <f>'2_Cleaned_Data'!G192</f>
        <v>2.7E-2</v>
      </c>
      <c r="E193" s="26">
        <f>'2_Cleaned_Data'!I192</f>
        <v>90.6</v>
      </c>
      <c r="F193" s="26">
        <f>IF('2_Cleaned_Data'!D192="Airport",1,0)</f>
        <v>0</v>
      </c>
      <c r="G193" s="26">
        <f>IF('2_Cleaned_Data'!D192="High Street",1,0)</f>
        <v>0</v>
      </c>
      <c r="H193" s="26">
        <f>IF('2_Cleaned_Data'!D192="Mall",1,0)</f>
        <v>0</v>
      </c>
    </row>
    <row r="194" spans="1:8" x14ac:dyDescent="0.45">
      <c r="A194" s="25">
        <f>'2_Cleaned_Data'!M193</f>
        <v>578949.84</v>
      </c>
      <c r="B194" s="25">
        <f>'2_Cleaned_Data'!E193</f>
        <v>54479.33</v>
      </c>
      <c r="C194" s="26">
        <f>'2_Cleaned_Data'!F193</f>
        <v>5012</v>
      </c>
      <c r="D194" s="26">
        <f>'2_Cleaned_Data'!G193</f>
        <v>0.28399999999999997</v>
      </c>
      <c r="E194" s="26">
        <f>'2_Cleaned_Data'!I193</f>
        <v>86</v>
      </c>
      <c r="F194" s="26">
        <f>IF('2_Cleaned_Data'!D193="Airport",1,0)</f>
        <v>0</v>
      </c>
      <c r="G194" s="26">
        <f>IF('2_Cleaned_Data'!D193="High Street",1,0)</f>
        <v>0</v>
      </c>
      <c r="H194" s="26">
        <f>IF('2_Cleaned_Data'!D193="Mall",1,0)</f>
        <v>0</v>
      </c>
    </row>
    <row r="195" spans="1:8" x14ac:dyDescent="0.45">
      <c r="A195" s="25">
        <f>'2_Cleaned_Data'!M194</f>
        <v>735786.64</v>
      </c>
      <c r="B195" s="25">
        <f>'2_Cleaned_Data'!E194</f>
        <v>61391.8</v>
      </c>
      <c r="C195" s="26">
        <f>'2_Cleaned_Data'!F194</f>
        <v>5575</v>
      </c>
      <c r="D195" s="26">
        <f>'2_Cleaned_Data'!G194</f>
        <v>0.189</v>
      </c>
      <c r="E195" s="26">
        <f>'2_Cleaned_Data'!I194</f>
        <v>90</v>
      </c>
      <c r="F195" s="26">
        <f>IF('2_Cleaned_Data'!D194="Airport",1,0)</f>
        <v>0</v>
      </c>
      <c r="G195" s="26">
        <f>IF('2_Cleaned_Data'!D194="High Street",1,0)</f>
        <v>0</v>
      </c>
      <c r="H195" s="26">
        <f>IF('2_Cleaned_Data'!D194="Mall",1,0)</f>
        <v>0</v>
      </c>
    </row>
    <row r="196" spans="1:8" x14ac:dyDescent="0.45">
      <c r="A196" s="25">
        <f>'2_Cleaned_Data'!M195</f>
        <v>598904.9</v>
      </c>
      <c r="B196" s="25">
        <f>'2_Cleaned_Data'!E195</f>
        <v>22312.93</v>
      </c>
      <c r="C196" s="26">
        <f>'2_Cleaned_Data'!F195</f>
        <v>5955</v>
      </c>
      <c r="D196" s="26">
        <f>'2_Cleaned_Data'!G195</f>
        <v>0.123</v>
      </c>
      <c r="E196" s="26">
        <f>'2_Cleaned_Data'!I195</f>
        <v>84.2</v>
      </c>
      <c r="F196" s="26">
        <f>IF('2_Cleaned_Data'!D195="Airport",1,0)</f>
        <v>1</v>
      </c>
      <c r="G196" s="26">
        <f>IF('2_Cleaned_Data'!D195="High Street",1,0)</f>
        <v>0</v>
      </c>
      <c r="H196" s="26">
        <f>IF('2_Cleaned_Data'!D195="Mall",1,0)</f>
        <v>0</v>
      </c>
    </row>
    <row r="197" spans="1:8" x14ac:dyDescent="0.45">
      <c r="A197" s="25">
        <f>'2_Cleaned_Data'!M196</f>
        <v>787715.51</v>
      </c>
      <c r="B197" s="25">
        <f>'2_Cleaned_Data'!E196</f>
        <v>78111.97</v>
      </c>
      <c r="C197" s="26">
        <f>'2_Cleaned_Data'!F196</f>
        <v>6389</v>
      </c>
      <c r="D197" s="26">
        <f>'2_Cleaned_Data'!G196</f>
        <v>0.15</v>
      </c>
      <c r="E197" s="26">
        <f>'2_Cleaned_Data'!I196</f>
        <v>83.9</v>
      </c>
      <c r="F197" s="26">
        <f>IF('2_Cleaned_Data'!D196="Airport",1,0)</f>
        <v>1</v>
      </c>
      <c r="G197" s="26">
        <f>IF('2_Cleaned_Data'!D196="High Street",1,0)</f>
        <v>0</v>
      </c>
      <c r="H197" s="26">
        <f>IF('2_Cleaned_Data'!D196="Mall",1,0)</f>
        <v>0</v>
      </c>
    </row>
    <row r="198" spans="1:8" x14ac:dyDescent="0.45">
      <c r="A198" s="25">
        <f>'2_Cleaned_Data'!M197</f>
        <v>607084.92000000004</v>
      </c>
      <c r="B198" s="25">
        <f>'2_Cleaned_Data'!E197</f>
        <v>35203.230000000003</v>
      </c>
      <c r="C198" s="26">
        <f>'2_Cleaned_Data'!F197</f>
        <v>6896</v>
      </c>
      <c r="D198" s="26">
        <f>'2_Cleaned_Data'!G197</f>
        <v>3.2000000000000001E-2</v>
      </c>
      <c r="E198" s="26">
        <f>'2_Cleaned_Data'!I197</f>
        <v>80.8</v>
      </c>
      <c r="F198" s="26">
        <f>IF('2_Cleaned_Data'!D197="Airport",1,0)</f>
        <v>1</v>
      </c>
      <c r="G198" s="26">
        <f>IF('2_Cleaned_Data'!D197="High Street",1,0)</f>
        <v>0</v>
      </c>
      <c r="H198" s="26">
        <f>IF('2_Cleaned_Data'!D197="Mall",1,0)</f>
        <v>0</v>
      </c>
    </row>
    <row r="199" spans="1:8" x14ac:dyDescent="0.45">
      <c r="A199" s="25">
        <f>'2_Cleaned_Data'!M198</f>
        <v>650795.49</v>
      </c>
      <c r="B199" s="25">
        <f>'2_Cleaned_Data'!E198</f>
        <v>64104.28</v>
      </c>
      <c r="C199" s="26">
        <f>'2_Cleaned_Data'!F198</f>
        <v>6015</v>
      </c>
      <c r="D199" s="26">
        <f>'2_Cleaned_Data'!G198</f>
        <v>0.127</v>
      </c>
      <c r="E199" s="26">
        <f>'2_Cleaned_Data'!I198</f>
        <v>88.7</v>
      </c>
      <c r="F199" s="26">
        <f>IF('2_Cleaned_Data'!D198="Airport",1,0)</f>
        <v>1</v>
      </c>
      <c r="G199" s="26">
        <f>IF('2_Cleaned_Data'!D198="High Street",1,0)</f>
        <v>0</v>
      </c>
      <c r="H199" s="26">
        <f>IF('2_Cleaned_Data'!D198="Mall",1,0)</f>
        <v>0</v>
      </c>
    </row>
    <row r="200" spans="1:8" x14ac:dyDescent="0.45">
      <c r="A200" s="25">
        <f>'2_Cleaned_Data'!M199</f>
        <v>825060.52</v>
      </c>
      <c r="B200" s="25">
        <f>'2_Cleaned_Data'!E199</f>
        <v>92090.14</v>
      </c>
      <c r="C200" s="26">
        <f>'2_Cleaned_Data'!F199</f>
        <v>9476</v>
      </c>
      <c r="D200" s="26">
        <f>'2_Cleaned_Data'!G199</f>
        <v>7.0000000000000007E-2</v>
      </c>
      <c r="E200" s="26">
        <f>'2_Cleaned_Data'!I199</f>
        <v>94.3</v>
      </c>
      <c r="F200" s="26">
        <f>IF('2_Cleaned_Data'!D199="Airport",1,0)</f>
        <v>0</v>
      </c>
      <c r="G200" s="26">
        <f>IF('2_Cleaned_Data'!D199="High Street",1,0)</f>
        <v>0</v>
      </c>
      <c r="H200" s="26">
        <f>IF('2_Cleaned_Data'!D199="Mall",1,0)</f>
        <v>1</v>
      </c>
    </row>
    <row r="201" spans="1:8" x14ac:dyDescent="0.45">
      <c r="A201" s="25">
        <f>'2_Cleaned_Data'!M200</f>
        <v>795464.47</v>
      </c>
      <c r="B201" s="25">
        <f>'2_Cleaned_Data'!E200</f>
        <v>54300.87</v>
      </c>
      <c r="C201" s="26">
        <f>'2_Cleaned_Data'!F200</f>
        <v>7875</v>
      </c>
      <c r="D201" s="26">
        <f>'2_Cleaned_Data'!G200</f>
        <v>0.107</v>
      </c>
      <c r="E201" s="26">
        <f>'2_Cleaned_Data'!I200</f>
        <v>94.1</v>
      </c>
      <c r="F201" s="26">
        <f>IF('2_Cleaned_Data'!D200="Airport",1,0)</f>
        <v>0</v>
      </c>
      <c r="G201" s="26">
        <f>IF('2_Cleaned_Data'!D200="High Street",1,0)</f>
        <v>0</v>
      </c>
      <c r="H201" s="26">
        <f>IF('2_Cleaned_Data'!D200="Mall",1,0)</f>
        <v>1</v>
      </c>
    </row>
    <row r="202" spans="1:8" x14ac:dyDescent="0.45">
      <c r="A202" s="25">
        <f>'2_Cleaned_Data'!M201</f>
        <v>671868.59</v>
      </c>
      <c r="B202" s="25">
        <f>'2_Cleaned_Data'!E201</f>
        <v>37983.35</v>
      </c>
      <c r="C202" s="26">
        <f>'2_Cleaned_Data'!F201</f>
        <v>9283</v>
      </c>
      <c r="D202" s="26">
        <f>'2_Cleaned_Data'!G201</f>
        <v>0.14899999999999999</v>
      </c>
      <c r="E202" s="26">
        <f>'2_Cleaned_Data'!I201</f>
        <v>83.2</v>
      </c>
      <c r="F202" s="26">
        <f>IF('2_Cleaned_Data'!D201="Airport",1,0)</f>
        <v>0</v>
      </c>
      <c r="G202" s="26">
        <f>IF('2_Cleaned_Data'!D201="High Street",1,0)</f>
        <v>0</v>
      </c>
      <c r="H202" s="26">
        <f>IF('2_Cleaned_Data'!D201="Mall",1,0)</f>
        <v>1</v>
      </c>
    </row>
    <row r="203" spans="1:8" x14ac:dyDescent="0.45">
      <c r="A203" s="25">
        <f>'2_Cleaned_Data'!M202</f>
        <v>675917.63</v>
      </c>
      <c r="B203" s="25">
        <f>'2_Cleaned_Data'!E202</f>
        <v>56413.83</v>
      </c>
      <c r="C203" s="26">
        <f>'2_Cleaned_Data'!F202</f>
        <v>8303</v>
      </c>
      <c r="D203" s="26">
        <f>'2_Cleaned_Data'!G202</f>
        <v>0.11600000000000001</v>
      </c>
      <c r="E203" s="26">
        <f>'2_Cleaned_Data'!I202</f>
        <v>93.6</v>
      </c>
      <c r="F203" s="26">
        <f>IF('2_Cleaned_Data'!D202="Airport",1,0)</f>
        <v>0</v>
      </c>
      <c r="G203" s="26">
        <f>IF('2_Cleaned_Data'!D202="High Street",1,0)</f>
        <v>0</v>
      </c>
      <c r="H203" s="26">
        <f>IF('2_Cleaned_Data'!D202="Mall",1,0)</f>
        <v>1</v>
      </c>
    </row>
    <row r="204" spans="1:8" x14ac:dyDescent="0.45">
      <c r="A204" s="25">
        <f>'2_Cleaned_Data'!M203</f>
        <v>810446.53</v>
      </c>
      <c r="B204" s="25">
        <f>'2_Cleaned_Data'!E203</f>
        <v>63457.19</v>
      </c>
      <c r="C204" s="26">
        <f>'2_Cleaned_Data'!F203</f>
        <v>10125</v>
      </c>
      <c r="D204" s="26">
        <f>'2_Cleaned_Data'!G203</f>
        <v>9.7000000000000003E-2</v>
      </c>
      <c r="E204" s="26">
        <f>'2_Cleaned_Data'!I203</f>
        <v>87</v>
      </c>
      <c r="F204" s="26">
        <f>IF('2_Cleaned_Data'!D203="Airport",1,0)</f>
        <v>0</v>
      </c>
      <c r="G204" s="26">
        <f>IF('2_Cleaned_Data'!D203="High Street",1,0)</f>
        <v>1</v>
      </c>
      <c r="H204" s="26">
        <f>IF('2_Cleaned_Data'!D203="Mall",1,0)</f>
        <v>0</v>
      </c>
    </row>
    <row r="205" spans="1:8" x14ac:dyDescent="0.45">
      <c r="A205" s="25">
        <f>'2_Cleaned_Data'!M204</f>
        <v>691288.19</v>
      </c>
      <c r="B205" s="25">
        <f>'2_Cleaned_Data'!E204</f>
        <v>62949.7</v>
      </c>
      <c r="C205" s="26">
        <f>'2_Cleaned_Data'!F204</f>
        <v>9458</v>
      </c>
      <c r="D205" s="26">
        <f>'2_Cleaned_Data'!G204</f>
        <v>0.17100000000000001</v>
      </c>
      <c r="E205" s="26">
        <f>'2_Cleaned_Data'!I204</f>
        <v>84.9</v>
      </c>
      <c r="F205" s="26">
        <f>IF('2_Cleaned_Data'!D204="Airport",1,0)</f>
        <v>0</v>
      </c>
      <c r="G205" s="26">
        <f>IF('2_Cleaned_Data'!D204="High Street",1,0)</f>
        <v>1</v>
      </c>
      <c r="H205" s="26">
        <f>IF('2_Cleaned_Data'!D204="Mall",1,0)</f>
        <v>0</v>
      </c>
    </row>
    <row r="206" spans="1:8" x14ac:dyDescent="0.45">
      <c r="A206" s="25">
        <f>'2_Cleaned_Data'!M205</f>
        <v>946833.54</v>
      </c>
      <c r="B206" s="25">
        <f>'2_Cleaned_Data'!E205</f>
        <v>107970.19</v>
      </c>
      <c r="C206" s="26">
        <f>'2_Cleaned_Data'!F205</f>
        <v>12870</v>
      </c>
      <c r="D206" s="26">
        <f>'2_Cleaned_Data'!G205</f>
        <v>2.9000000000000001E-2</v>
      </c>
      <c r="E206" s="26">
        <f>'2_Cleaned_Data'!I205</f>
        <v>91.7</v>
      </c>
      <c r="F206" s="26">
        <f>IF('2_Cleaned_Data'!D205="Airport",1,0)</f>
        <v>0</v>
      </c>
      <c r="G206" s="26">
        <f>IF('2_Cleaned_Data'!D205="High Street",1,0)</f>
        <v>1</v>
      </c>
      <c r="H206" s="26">
        <f>IF('2_Cleaned_Data'!D205="Mall",1,0)</f>
        <v>0</v>
      </c>
    </row>
    <row r="207" spans="1:8" x14ac:dyDescent="0.45">
      <c r="A207" s="25">
        <f>'2_Cleaned_Data'!M206</f>
        <v>761963.23</v>
      </c>
      <c r="B207" s="25">
        <f>'2_Cleaned_Data'!E206</f>
        <v>49405.75</v>
      </c>
      <c r="C207" s="26">
        <f>'2_Cleaned_Data'!F206</f>
        <v>9752</v>
      </c>
      <c r="D207" s="26">
        <f>'2_Cleaned_Data'!G206</f>
        <v>9.2999999999999999E-2</v>
      </c>
      <c r="E207" s="26">
        <f>'2_Cleaned_Data'!I206</f>
        <v>87</v>
      </c>
      <c r="F207" s="26">
        <f>IF('2_Cleaned_Data'!D206="Airport",1,0)</f>
        <v>0</v>
      </c>
      <c r="G207" s="26">
        <f>IF('2_Cleaned_Data'!D206="High Street",1,0)</f>
        <v>1</v>
      </c>
      <c r="H207" s="26">
        <f>IF('2_Cleaned_Data'!D206="Mall",1,0)</f>
        <v>0</v>
      </c>
    </row>
    <row r="208" spans="1:8" x14ac:dyDescent="0.45">
      <c r="A208" s="25">
        <f>'2_Cleaned_Data'!M207</f>
        <v>812152.6</v>
      </c>
      <c r="B208" s="25">
        <f>'2_Cleaned_Data'!E207</f>
        <v>50887.46</v>
      </c>
      <c r="C208" s="26">
        <f>'2_Cleaned_Data'!F207</f>
        <v>9505</v>
      </c>
      <c r="D208" s="26">
        <f>'2_Cleaned_Data'!G207</f>
        <v>9.0999999999999998E-2</v>
      </c>
      <c r="E208" s="26">
        <f>'2_Cleaned_Data'!I207</f>
        <v>89.7</v>
      </c>
      <c r="F208" s="26">
        <f>IF('2_Cleaned_Data'!D207="Airport",1,0)</f>
        <v>0</v>
      </c>
      <c r="G208" s="26">
        <f>IF('2_Cleaned_Data'!D207="High Street",1,0)</f>
        <v>0</v>
      </c>
      <c r="H208" s="26">
        <f>IF('2_Cleaned_Data'!D207="Mall",1,0)</f>
        <v>0</v>
      </c>
    </row>
    <row r="209" spans="1:8" x14ac:dyDescent="0.45">
      <c r="A209" s="25">
        <f>'2_Cleaned_Data'!M208</f>
        <v>804975.5</v>
      </c>
      <c r="B209" s="25">
        <f>'2_Cleaned_Data'!E208</f>
        <v>41819.449999999997</v>
      </c>
      <c r="C209" s="26">
        <f>'2_Cleaned_Data'!F208</f>
        <v>9412</v>
      </c>
      <c r="D209" s="26">
        <f>'2_Cleaned_Data'!G208</f>
        <v>0.15</v>
      </c>
      <c r="E209" s="26">
        <f>'2_Cleaned_Data'!I208</f>
        <v>91</v>
      </c>
      <c r="F209" s="26">
        <f>IF('2_Cleaned_Data'!D208="Airport",1,0)</f>
        <v>0</v>
      </c>
      <c r="G209" s="26">
        <f>IF('2_Cleaned_Data'!D208="High Street",1,0)</f>
        <v>0</v>
      </c>
      <c r="H209" s="26">
        <f>IF('2_Cleaned_Data'!D208="Mall",1,0)</f>
        <v>0</v>
      </c>
    </row>
    <row r="210" spans="1:8" x14ac:dyDescent="0.45">
      <c r="A210" s="25">
        <f>'2_Cleaned_Data'!M209</f>
        <v>752321.72</v>
      </c>
      <c r="B210" s="25">
        <f>'2_Cleaned_Data'!E209</f>
        <v>35296.54</v>
      </c>
      <c r="C210" s="26">
        <f>'2_Cleaned_Data'!F209</f>
        <v>9644</v>
      </c>
      <c r="D210" s="26">
        <f>'2_Cleaned_Data'!G209</f>
        <v>0</v>
      </c>
      <c r="E210" s="26">
        <f>'2_Cleaned_Data'!I209</f>
        <v>88</v>
      </c>
      <c r="F210" s="26">
        <f>IF('2_Cleaned_Data'!D209="Airport",1,0)</f>
        <v>0</v>
      </c>
      <c r="G210" s="26">
        <f>IF('2_Cleaned_Data'!D209="High Street",1,0)</f>
        <v>0</v>
      </c>
      <c r="H210" s="26">
        <f>IF('2_Cleaned_Data'!D209="Mall",1,0)</f>
        <v>0</v>
      </c>
    </row>
    <row r="211" spans="1:8" x14ac:dyDescent="0.45">
      <c r="A211" s="25">
        <f>'2_Cleaned_Data'!M210</f>
        <v>836908.24</v>
      </c>
      <c r="B211" s="25">
        <f>'2_Cleaned_Data'!E210</f>
        <v>47391.09</v>
      </c>
      <c r="C211" s="26">
        <f>'2_Cleaned_Data'!F210</f>
        <v>11224</v>
      </c>
      <c r="D211" s="26">
        <f>'2_Cleaned_Data'!G210</f>
        <v>0.14699999999999999</v>
      </c>
      <c r="E211" s="26">
        <f>'2_Cleaned_Data'!I210</f>
        <v>88.4</v>
      </c>
      <c r="F211" s="26">
        <f>IF('2_Cleaned_Data'!D210="Airport",1,0)</f>
        <v>0</v>
      </c>
      <c r="G211" s="26">
        <f>IF('2_Cleaned_Data'!D210="High Street",1,0)</f>
        <v>0</v>
      </c>
      <c r="H211" s="26">
        <f>IF('2_Cleaned_Data'!D210="Mall",1,0)</f>
        <v>0</v>
      </c>
    </row>
    <row r="212" spans="1:8" x14ac:dyDescent="0.45">
      <c r="A212" s="25">
        <f>'2_Cleaned_Data'!M211</f>
        <v>674289.1</v>
      </c>
      <c r="B212" s="25">
        <f>'2_Cleaned_Data'!E211</f>
        <v>69180.539999999994</v>
      </c>
      <c r="C212" s="26">
        <f>'2_Cleaned_Data'!F211</f>
        <v>5394</v>
      </c>
      <c r="D212" s="26">
        <f>'2_Cleaned_Data'!G211</f>
        <v>0.126</v>
      </c>
      <c r="E212" s="26">
        <f>'2_Cleaned_Data'!I211</f>
        <v>82.9</v>
      </c>
      <c r="F212" s="26">
        <f>IF('2_Cleaned_Data'!D211="Airport",1,0)</f>
        <v>1</v>
      </c>
      <c r="G212" s="26">
        <f>IF('2_Cleaned_Data'!D211="High Street",1,0)</f>
        <v>0</v>
      </c>
      <c r="H212" s="26">
        <f>IF('2_Cleaned_Data'!D211="Mall",1,0)</f>
        <v>0</v>
      </c>
    </row>
    <row r="213" spans="1:8" x14ac:dyDescent="0.45">
      <c r="A213" s="25">
        <f>'2_Cleaned_Data'!M212</f>
        <v>622892.42000000004</v>
      </c>
      <c r="B213" s="25">
        <f>'2_Cleaned_Data'!E212</f>
        <v>33987.33</v>
      </c>
      <c r="C213" s="26">
        <f>'2_Cleaned_Data'!F212</f>
        <v>5014</v>
      </c>
      <c r="D213" s="26">
        <f>'2_Cleaned_Data'!G212</f>
        <v>0.246</v>
      </c>
      <c r="E213" s="26">
        <f>'2_Cleaned_Data'!I212</f>
        <v>94.3</v>
      </c>
      <c r="F213" s="26">
        <f>IF('2_Cleaned_Data'!D212="Airport",1,0)</f>
        <v>1</v>
      </c>
      <c r="G213" s="26">
        <f>IF('2_Cleaned_Data'!D212="High Street",1,0)</f>
        <v>0</v>
      </c>
      <c r="H213" s="26">
        <f>IF('2_Cleaned_Data'!D212="Mall",1,0)</f>
        <v>0</v>
      </c>
    </row>
    <row r="214" spans="1:8" x14ac:dyDescent="0.45">
      <c r="A214" s="25">
        <f>'2_Cleaned_Data'!M213</f>
        <v>673348.56</v>
      </c>
      <c r="B214" s="25">
        <f>'2_Cleaned_Data'!E213</f>
        <v>58785.33</v>
      </c>
      <c r="C214" s="26">
        <f>'2_Cleaned_Data'!F213</f>
        <v>4467</v>
      </c>
      <c r="D214" s="26">
        <f>'2_Cleaned_Data'!G213</f>
        <v>0.22900000000000001</v>
      </c>
      <c r="E214" s="26">
        <f>'2_Cleaned_Data'!I213</f>
        <v>90.7</v>
      </c>
      <c r="F214" s="26">
        <f>IF('2_Cleaned_Data'!D213="Airport",1,0)</f>
        <v>1</v>
      </c>
      <c r="G214" s="26">
        <f>IF('2_Cleaned_Data'!D213="High Street",1,0)</f>
        <v>0</v>
      </c>
      <c r="H214" s="26">
        <f>IF('2_Cleaned_Data'!D213="Mall",1,0)</f>
        <v>0</v>
      </c>
    </row>
    <row r="215" spans="1:8" x14ac:dyDescent="0.45">
      <c r="A215" s="25">
        <f>'2_Cleaned_Data'!M214</f>
        <v>606278.30000000005</v>
      </c>
      <c r="B215" s="25">
        <f>'2_Cleaned_Data'!E214</f>
        <v>16451.849999999999</v>
      </c>
      <c r="C215" s="26">
        <f>'2_Cleaned_Data'!F214</f>
        <v>4678</v>
      </c>
      <c r="D215" s="26">
        <f>'2_Cleaned_Data'!G214</f>
        <v>0.13300000000000001</v>
      </c>
      <c r="E215" s="26">
        <f>'2_Cleaned_Data'!I214</f>
        <v>95.9</v>
      </c>
      <c r="F215" s="26">
        <f>IF('2_Cleaned_Data'!D214="Airport",1,0)</f>
        <v>1</v>
      </c>
      <c r="G215" s="26">
        <f>IF('2_Cleaned_Data'!D214="High Street",1,0)</f>
        <v>0</v>
      </c>
      <c r="H215" s="26">
        <f>IF('2_Cleaned_Data'!D214="Mall",1,0)</f>
        <v>0</v>
      </c>
    </row>
    <row r="216" spans="1:8" x14ac:dyDescent="0.45">
      <c r="A216" s="25">
        <f>'2_Cleaned_Data'!M215</f>
        <v>712219.81</v>
      </c>
      <c r="B216" s="25">
        <f>'2_Cleaned_Data'!E215</f>
        <v>53367.73</v>
      </c>
      <c r="C216" s="26">
        <f>'2_Cleaned_Data'!F215</f>
        <v>7291</v>
      </c>
      <c r="D216" s="26">
        <f>'2_Cleaned_Data'!G215</f>
        <v>0.14599999999999999</v>
      </c>
      <c r="E216" s="26">
        <f>'2_Cleaned_Data'!I215</f>
        <v>90.6</v>
      </c>
      <c r="F216" s="26">
        <f>IF('2_Cleaned_Data'!D215="Airport",1,0)</f>
        <v>0</v>
      </c>
      <c r="G216" s="26">
        <f>IF('2_Cleaned_Data'!D215="High Street",1,0)</f>
        <v>1</v>
      </c>
      <c r="H216" s="26">
        <f>IF('2_Cleaned_Data'!D215="Mall",1,0)</f>
        <v>0</v>
      </c>
    </row>
    <row r="217" spans="1:8" x14ac:dyDescent="0.45">
      <c r="A217" s="25">
        <f>'2_Cleaned_Data'!M216</f>
        <v>672670.54</v>
      </c>
      <c r="B217" s="25">
        <f>'2_Cleaned_Data'!E216</f>
        <v>27194.639999999999</v>
      </c>
      <c r="C217" s="26">
        <f>'2_Cleaned_Data'!F216</f>
        <v>7404</v>
      </c>
      <c r="D217" s="26">
        <f>'2_Cleaned_Data'!G216</f>
        <v>8.7999999999999995E-2</v>
      </c>
      <c r="E217" s="26">
        <f>'2_Cleaned_Data'!I216</f>
        <v>90.2</v>
      </c>
      <c r="F217" s="26">
        <f>IF('2_Cleaned_Data'!D216="Airport",1,0)</f>
        <v>0</v>
      </c>
      <c r="G217" s="26">
        <f>IF('2_Cleaned_Data'!D216="High Street",1,0)</f>
        <v>1</v>
      </c>
      <c r="H217" s="26">
        <f>IF('2_Cleaned_Data'!D216="Mall",1,0)</f>
        <v>0</v>
      </c>
    </row>
    <row r="218" spans="1:8" x14ac:dyDescent="0.45">
      <c r="A218" s="25">
        <f>'2_Cleaned_Data'!M217</f>
        <v>732667.92</v>
      </c>
      <c r="B218" s="25">
        <f>'2_Cleaned_Data'!E217</f>
        <v>66962.740000000005</v>
      </c>
      <c r="C218" s="26">
        <f>'2_Cleaned_Data'!F217</f>
        <v>7880</v>
      </c>
      <c r="D218" s="26">
        <f>'2_Cleaned_Data'!G217</f>
        <v>0.11600000000000001</v>
      </c>
      <c r="E218" s="26">
        <f>'2_Cleaned_Data'!I217</f>
        <v>90.4</v>
      </c>
      <c r="F218" s="26">
        <f>IF('2_Cleaned_Data'!D217="Airport",1,0)</f>
        <v>0</v>
      </c>
      <c r="G218" s="26">
        <f>IF('2_Cleaned_Data'!D217="High Street",1,0)</f>
        <v>1</v>
      </c>
      <c r="H218" s="26">
        <f>IF('2_Cleaned_Data'!D217="Mall",1,0)</f>
        <v>0</v>
      </c>
    </row>
    <row r="219" spans="1:8" x14ac:dyDescent="0.45">
      <c r="A219" s="25">
        <f>'2_Cleaned_Data'!M218</f>
        <v>723531.4</v>
      </c>
      <c r="B219" s="25">
        <f>'2_Cleaned_Data'!E218</f>
        <v>73540.990000000005</v>
      </c>
      <c r="C219" s="26">
        <f>'2_Cleaned_Data'!F218</f>
        <v>8773</v>
      </c>
      <c r="D219" s="26">
        <f>'2_Cleaned_Data'!G218</f>
        <v>3.5000000000000003E-2</v>
      </c>
      <c r="E219" s="26">
        <f>'2_Cleaned_Data'!I218</f>
        <v>84.4</v>
      </c>
      <c r="F219" s="26">
        <f>IF('2_Cleaned_Data'!D218="Airport",1,0)</f>
        <v>0</v>
      </c>
      <c r="G219" s="26">
        <f>IF('2_Cleaned_Data'!D218="High Street",1,0)</f>
        <v>1</v>
      </c>
      <c r="H219" s="26">
        <f>IF('2_Cleaned_Data'!D218="Mall",1,0)</f>
        <v>0</v>
      </c>
    </row>
    <row r="220" spans="1:8" x14ac:dyDescent="0.45">
      <c r="A220" s="25">
        <f>'2_Cleaned_Data'!M219</f>
        <v>641564.6</v>
      </c>
      <c r="B220" s="25">
        <f>'2_Cleaned_Data'!E219</f>
        <v>68212.289999999994</v>
      </c>
      <c r="C220" s="26">
        <f>'2_Cleaned_Data'!F219</f>
        <v>4713</v>
      </c>
      <c r="D220" s="26">
        <f>'2_Cleaned_Data'!G219</f>
        <v>0.19800000000000001</v>
      </c>
      <c r="E220" s="26">
        <f>'2_Cleaned_Data'!I219</f>
        <v>82.6</v>
      </c>
      <c r="F220" s="26">
        <f>IF('2_Cleaned_Data'!D219="Airport",1,0)</f>
        <v>0</v>
      </c>
      <c r="G220" s="26">
        <f>IF('2_Cleaned_Data'!D219="High Street",1,0)</f>
        <v>0</v>
      </c>
      <c r="H220" s="26">
        <f>IF('2_Cleaned_Data'!D219="Mall",1,0)</f>
        <v>1</v>
      </c>
    </row>
    <row r="221" spans="1:8" x14ac:dyDescent="0.45">
      <c r="A221" s="25">
        <f>'2_Cleaned_Data'!M220</f>
        <v>536545.49</v>
      </c>
      <c r="B221" s="25">
        <f>'2_Cleaned_Data'!E220</f>
        <v>57225.98</v>
      </c>
      <c r="C221" s="26">
        <f>'2_Cleaned_Data'!F220</f>
        <v>2842</v>
      </c>
      <c r="D221" s="26">
        <f>'2_Cleaned_Data'!G220</f>
        <v>0.112</v>
      </c>
      <c r="E221" s="26">
        <f>'2_Cleaned_Data'!I220</f>
        <v>79.5</v>
      </c>
      <c r="F221" s="26">
        <f>IF('2_Cleaned_Data'!D220="Airport",1,0)</f>
        <v>0</v>
      </c>
      <c r="G221" s="26">
        <f>IF('2_Cleaned_Data'!D220="High Street",1,0)</f>
        <v>0</v>
      </c>
      <c r="H221" s="26">
        <f>IF('2_Cleaned_Data'!D220="Mall",1,0)</f>
        <v>1</v>
      </c>
    </row>
    <row r="222" spans="1:8" x14ac:dyDescent="0.45">
      <c r="A222" s="25">
        <f>'2_Cleaned_Data'!M221</f>
        <v>527681.56000000006</v>
      </c>
      <c r="B222" s="25">
        <f>'2_Cleaned_Data'!E221</f>
        <v>42932.02</v>
      </c>
      <c r="C222" s="26">
        <f>'2_Cleaned_Data'!F221</f>
        <v>3872</v>
      </c>
      <c r="D222" s="26">
        <f>'2_Cleaned_Data'!G221</f>
        <v>0.17100000000000001</v>
      </c>
      <c r="E222" s="26">
        <f>'2_Cleaned_Data'!I221</f>
        <v>83.2</v>
      </c>
      <c r="F222" s="26">
        <f>IF('2_Cleaned_Data'!D221="Airport",1,0)</f>
        <v>0</v>
      </c>
      <c r="G222" s="26">
        <f>IF('2_Cleaned_Data'!D221="High Street",1,0)</f>
        <v>0</v>
      </c>
      <c r="H222" s="26">
        <f>IF('2_Cleaned_Data'!D221="Mall",1,0)</f>
        <v>1</v>
      </c>
    </row>
    <row r="223" spans="1:8" x14ac:dyDescent="0.45">
      <c r="A223" s="25">
        <f>'2_Cleaned_Data'!M222</f>
        <v>570963.31000000006</v>
      </c>
      <c r="B223" s="25">
        <f>'2_Cleaned_Data'!E222</f>
        <v>37324.230000000003</v>
      </c>
      <c r="C223" s="26">
        <f>'2_Cleaned_Data'!F222</f>
        <v>5957</v>
      </c>
      <c r="D223" s="26">
        <f>'2_Cleaned_Data'!G222</f>
        <v>7.0999999999999994E-2</v>
      </c>
      <c r="E223" s="26">
        <f>'2_Cleaned_Data'!I222</f>
        <v>85.9</v>
      </c>
      <c r="F223" s="26">
        <f>IF('2_Cleaned_Data'!D222="Airport",1,0)</f>
        <v>0</v>
      </c>
      <c r="G223" s="26">
        <f>IF('2_Cleaned_Data'!D222="High Street",1,0)</f>
        <v>1</v>
      </c>
      <c r="H223" s="26">
        <f>IF('2_Cleaned_Data'!D222="Mall",1,0)</f>
        <v>0</v>
      </c>
    </row>
    <row r="224" spans="1:8" x14ac:dyDescent="0.45">
      <c r="A224" s="25">
        <f>'2_Cleaned_Data'!M223</f>
        <v>870937.4</v>
      </c>
      <c r="B224" s="25">
        <f>'2_Cleaned_Data'!E223</f>
        <v>113736</v>
      </c>
      <c r="C224" s="26">
        <f>'2_Cleaned_Data'!F223</f>
        <v>8961</v>
      </c>
      <c r="D224" s="26">
        <f>'2_Cleaned_Data'!G223</f>
        <v>0.20200000000000001</v>
      </c>
      <c r="E224" s="26">
        <f>'2_Cleaned_Data'!I223</f>
        <v>86.2</v>
      </c>
      <c r="F224" s="26">
        <f>IF('2_Cleaned_Data'!D223="Airport",1,0)</f>
        <v>0</v>
      </c>
      <c r="G224" s="26">
        <f>IF('2_Cleaned_Data'!D223="High Street",1,0)</f>
        <v>1</v>
      </c>
      <c r="H224" s="26">
        <f>IF('2_Cleaned_Data'!D223="Mall",1,0)</f>
        <v>0</v>
      </c>
    </row>
    <row r="225" spans="1:8" x14ac:dyDescent="0.45">
      <c r="A225" s="25">
        <f>'2_Cleaned_Data'!M224</f>
        <v>596969.27</v>
      </c>
      <c r="B225" s="25">
        <f>'2_Cleaned_Data'!E224</f>
        <v>33173.949999999997</v>
      </c>
      <c r="C225" s="26">
        <f>'2_Cleaned_Data'!F224</f>
        <v>6545</v>
      </c>
      <c r="D225" s="26">
        <f>'2_Cleaned_Data'!G224</f>
        <v>0.16900000000000001</v>
      </c>
      <c r="E225" s="26">
        <f>'2_Cleaned_Data'!I224</f>
        <v>84.4</v>
      </c>
      <c r="F225" s="26">
        <f>IF('2_Cleaned_Data'!D224="Airport",1,0)</f>
        <v>0</v>
      </c>
      <c r="G225" s="26">
        <f>IF('2_Cleaned_Data'!D224="High Street",1,0)</f>
        <v>1</v>
      </c>
      <c r="H225" s="26">
        <f>IF('2_Cleaned_Data'!D224="Mall",1,0)</f>
        <v>0</v>
      </c>
    </row>
    <row r="226" spans="1:8" x14ac:dyDescent="0.45">
      <c r="A226" s="25">
        <f>'2_Cleaned_Data'!M225</f>
        <v>658072.14</v>
      </c>
      <c r="B226" s="25">
        <f>'2_Cleaned_Data'!E225</f>
        <v>47241.919999999998</v>
      </c>
      <c r="C226" s="26">
        <f>'2_Cleaned_Data'!F225</f>
        <v>4264</v>
      </c>
      <c r="D226" s="26">
        <f>'2_Cleaned_Data'!G225</f>
        <v>6.9000000000000006E-2</v>
      </c>
      <c r="E226" s="26">
        <f>'2_Cleaned_Data'!I225</f>
        <v>95.3</v>
      </c>
      <c r="F226" s="26">
        <f>IF('2_Cleaned_Data'!D225="Airport",1,0)</f>
        <v>0</v>
      </c>
      <c r="G226" s="26">
        <f>IF('2_Cleaned_Data'!D225="High Street",1,0)</f>
        <v>0</v>
      </c>
      <c r="H226" s="26">
        <f>IF('2_Cleaned_Data'!D225="Mall",1,0)</f>
        <v>0</v>
      </c>
    </row>
    <row r="227" spans="1:8" x14ac:dyDescent="0.45">
      <c r="A227" s="25">
        <f>'2_Cleaned_Data'!M226</f>
        <v>723305.11</v>
      </c>
      <c r="B227" s="25">
        <f>'2_Cleaned_Data'!E226</f>
        <v>61650.79</v>
      </c>
      <c r="C227" s="26">
        <f>'2_Cleaned_Data'!F226</f>
        <v>5321</v>
      </c>
      <c r="D227" s="26">
        <f>'2_Cleaned_Data'!G226</f>
        <v>0.126</v>
      </c>
      <c r="E227" s="26">
        <f>'2_Cleaned_Data'!I226</f>
        <v>89.2</v>
      </c>
      <c r="F227" s="26">
        <f>IF('2_Cleaned_Data'!D226="Airport",1,0)</f>
        <v>0</v>
      </c>
      <c r="G227" s="26">
        <f>IF('2_Cleaned_Data'!D226="High Street",1,0)</f>
        <v>0</v>
      </c>
      <c r="H227" s="26">
        <f>IF('2_Cleaned_Data'!D226="Mall",1,0)</f>
        <v>0</v>
      </c>
    </row>
    <row r="228" spans="1:8" x14ac:dyDescent="0.45">
      <c r="A228" s="25">
        <f>'2_Cleaned_Data'!M227</f>
        <v>640666.53</v>
      </c>
      <c r="B228" s="25">
        <f>'2_Cleaned_Data'!E227</f>
        <v>62582.71</v>
      </c>
      <c r="C228" s="26">
        <f>'2_Cleaned_Data'!F227</f>
        <v>5479</v>
      </c>
      <c r="D228" s="26">
        <f>'2_Cleaned_Data'!G227</f>
        <v>4.8000000000000001E-2</v>
      </c>
      <c r="E228" s="26">
        <f>'2_Cleaned_Data'!I227</f>
        <v>81.2</v>
      </c>
      <c r="F228" s="26">
        <f>IF('2_Cleaned_Data'!D227="Airport",1,0)</f>
        <v>0</v>
      </c>
      <c r="G228" s="26">
        <f>IF('2_Cleaned_Data'!D227="High Street",1,0)</f>
        <v>0</v>
      </c>
      <c r="H228" s="26">
        <f>IF('2_Cleaned_Data'!D227="Mall",1,0)</f>
        <v>0</v>
      </c>
    </row>
    <row r="229" spans="1:8" x14ac:dyDescent="0.45">
      <c r="A229" s="25">
        <f>'2_Cleaned_Data'!M228</f>
        <v>670629.48</v>
      </c>
      <c r="B229" s="25">
        <f>'2_Cleaned_Data'!E228</f>
        <v>47944.14</v>
      </c>
      <c r="C229" s="26">
        <f>'2_Cleaned_Data'!F228</f>
        <v>6169</v>
      </c>
      <c r="D229" s="26">
        <f>'2_Cleaned_Data'!G228</f>
        <v>0.11899999999999999</v>
      </c>
      <c r="E229" s="26">
        <f>'2_Cleaned_Data'!I228</f>
        <v>92.2</v>
      </c>
      <c r="F229" s="26">
        <f>IF('2_Cleaned_Data'!D228="Airport",1,0)</f>
        <v>0</v>
      </c>
      <c r="G229" s="26">
        <f>IF('2_Cleaned_Data'!D228="High Street",1,0)</f>
        <v>0</v>
      </c>
      <c r="H229" s="26">
        <f>IF('2_Cleaned_Data'!D228="Mall",1,0)</f>
        <v>0</v>
      </c>
    </row>
    <row r="230" spans="1:8" x14ac:dyDescent="0.45">
      <c r="A230" s="25">
        <f>'2_Cleaned_Data'!M229</f>
        <v>721079.35</v>
      </c>
      <c r="B230" s="25">
        <f>'2_Cleaned_Data'!E229</f>
        <v>46495.4</v>
      </c>
      <c r="C230" s="26">
        <f>'2_Cleaned_Data'!F229</f>
        <v>9908</v>
      </c>
      <c r="D230" s="26">
        <f>'2_Cleaned_Data'!G229</f>
        <v>0.121</v>
      </c>
      <c r="E230" s="26">
        <f>'2_Cleaned_Data'!I229</f>
        <v>89.4</v>
      </c>
      <c r="F230" s="26">
        <f>IF('2_Cleaned_Data'!D229="Airport",1,0)</f>
        <v>0</v>
      </c>
      <c r="G230" s="26">
        <f>IF('2_Cleaned_Data'!D229="High Street",1,0)</f>
        <v>0</v>
      </c>
      <c r="H230" s="26">
        <f>IF('2_Cleaned_Data'!D229="Mall",1,0)</f>
        <v>1</v>
      </c>
    </row>
    <row r="231" spans="1:8" x14ac:dyDescent="0.45">
      <c r="A231" s="25">
        <f>'2_Cleaned_Data'!M230</f>
        <v>810355.02</v>
      </c>
      <c r="B231" s="25">
        <f>'2_Cleaned_Data'!E230</f>
        <v>72961.95</v>
      </c>
      <c r="C231" s="26">
        <f>'2_Cleaned_Data'!F230</f>
        <v>9996</v>
      </c>
      <c r="D231" s="26">
        <f>'2_Cleaned_Data'!G230</f>
        <v>0.106</v>
      </c>
      <c r="E231" s="26">
        <f>'2_Cleaned_Data'!I230</f>
        <v>89.1</v>
      </c>
      <c r="F231" s="26">
        <f>IF('2_Cleaned_Data'!D230="Airport",1,0)</f>
        <v>0</v>
      </c>
      <c r="G231" s="26">
        <f>IF('2_Cleaned_Data'!D230="High Street",1,0)</f>
        <v>0</v>
      </c>
      <c r="H231" s="26">
        <f>IF('2_Cleaned_Data'!D230="Mall",1,0)</f>
        <v>1</v>
      </c>
    </row>
    <row r="232" spans="1:8" x14ac:dyDescent="0.45">
      <c r="A232" s="25">
        <f>'2_Cleaned_Data'!M231</f>
        <v>761919.25</v>
      </c>
      <c r="B232" s="25">
        <f>'2_Cleaned_Data'!E231</f>
        <v>59060.05</v>
      </c>
      <c r="C232" s="26">
        <f>'2_Cleaned_Data'!F231</f>
        <v>9702</v>
      </c>
      <c r="D232" s="26">
        <f>'2_Cleaned_Data'!G231</f>
        <v>0.20100000000000001</v>
      </c>
      <c r="E232" s="26">
        <f>'2_Cleaned_Data'!I231</f>
        <v>80.900000000000006</v>
      </c>
      <c r="F232" s="26">
        <f>IF('2_Cleaned_Data'!D231="Airport",1,0)</f>
        <v>0</v>
      </c>
      <c r="G232" s="26">
        <f>IF('2_Cleaned_Data'!D231="High Street",1,0)</f>
        <v>0</v>
      </c>
      <c r="H232" s="26">
        <f>IF('2_Cleaned_Data'!D231="Mall",1,0)</f>
        <v>1</v>
      </c>
    </row>
    <row r="233" spans="1:8" x14ac:dyDescent="0.45">
      <c r="A233" s="25">
        <f>'2_Cleaned_Data'!M232</f>
        <v>737070.18</v>
      </c>
      <c r="B233" s="25">
        <f>'2_Cleaned_Data'!E232</f>
        <v>26248.1</v>
      </c>
      <c r="C233" s="26">
        <f>'2_Cleaned_Data'!F232</f>
        <v>9314</v>
      </c>
      <c r="D233" s="26">
        <f>'2_Cleaned_Data'!G232</f>
        <v>0.186</v>
      </c>
      <c r="E233" s="26">
        <f>'2_Cleaned_Data'!I232</f>
        <v>83.7</v>
      </c>
      <c r="F233" s="26">
        <f>IF('2_Cleaned_Data'!D232="Airport",1,0)</f>
        <v>0</v>
      </c>
      <c r="G233" s="26">
        <f>IF('2_Cleaned_Data'!D232="High Street",1,0)</f>
        <v>0</v>
      </c>
      <c r="H233" s="26">
        <f>IF('2_Cleaned_Data'!D232="Mall",1,0)</f>
        <v>1</v>
      </c>
    </row>
    <row r="234" spans="1:8" x14ac:dyDescent="0.45">
      <c r="A234" s="25">
        <f>'2_Cleaned_Data'!M233</f>
        <v>776992.93</v>
      </c>
      <c r="B234" s="25">
        <f>'2_Cleaned_Data'!E233</f>
        <v>69900.12</v>
      </c>
      <c r="C234" s="26">
        <f>'2_Cleaned_Data'!F233</f>
        <v>8055</v>
      </c>
      <c r="D234" s="26">
        <f>'2_Cleaned_Data'!G233</f>
        <v>0.28100000000000003</v>
      </c>
      <c r="E234" s="26">
        <f>'2_Cleaned_Data'!I233</f>
        <v>85.6</v>
      </c>
      <c r="F234" s="26">
        <f>IF('2_Cleaned_Data'!D233="Airport",1,0)</f>
        <v>1</v>
      </c>
      <c r="G234" s="26">
        <f>IF('2_Cleaned_Data'!D233="High Street",1,0)</f>
        <v>0</v>
      </c>
      <c r="H234" s="26">
        <f>IF('2_Cleaned_Data'!D233="Mall",1,0)</f>
        <v>0</v>
      </c>
    </row>
    <row r="235" spans="1:8" x14ac:dyDescent="0.45">
      <c r="A235" s="25">
        <f>'2_Cleaned_Data'!M234</f>
        <v>676337.41</v>
      </c>
      <c r="B235" s="25">
        <f>'2_Cleaned_Data'!E234</f>
        <v>51781.599999999999</v>
      </c>
      <c r="C235" s="26">
        <f>'2_Cleaned_Data'!F234</f>
        <v>5648</v>
      </c>
      <c r="D235" s="26">
        <f>'2_Cleaned_Data'!G234</f>
        <v>5.8999999999999997E-2</v>
      </c>
      <c r="E235" s="26">
        <f>'2_Cleaned_Data'!I234</f>
        <v>85.5</v>
      </c>
      <c r="F235" s="26">
        <f>IF('2_Cleaned_Data'!D234="Airport",1,0)</f>
        <v>1</v>
      </c>
      <c r="G235" s="26">
        <f>IF('2_Cleaned_Data'!D234="High Street",1,0)</f>
        <v>0</v>
      </c>
      <c r="H235" s="26">
        <f>IF('2_Cleaned_Data'!D234="Mall",1,0)</f>
        <v>0</v>
      </c>
    </row>
    <row r="236" spans="1:8" x14ac:dyDescent="0.45">
      <c r="A236" s="25">
        <f>'2_Cleaned_Data'!M235</f>
        <v>828219.67</v>
      </c>
      <c r="B236" s="25">
        <f>'2_Cleaned_Data'!E235</f>
        <v>70799.64</v>
      </c>
      <c r="C236" s="26">
        <f>'2_Cleaned_Data'!F235</f>
        <v>10076</v>
      </c>
      <c r="D236" s="26">
        <f>'2_Cleaned_Data'!G235</f>
        <v>0.152</v>
      </c>
      <c r="E236" s="26">
        <f>'2_Cleaned_Data'!I235</f>
        <v>84.8</v>
      </c>
      <c r="F236" s="26">
        <f>IF('2_Cleaned_Data'!D235="Airport",1,0)</f>
        <v>1</v>
      </c>
      <c r="G236" s="26">
        <f>IF('2_Cleaned_Data'!D235="High Street",1,0)</f>
        <v>0</v>
      </c>
      <c r="H236" s="26">
        <f>IF('2_Cleaned_Data'!D235="Mall",1,0)</f>
        <v>0</v>
      </c>
    </row>
    <row r="237" spans="1:8" x14ac:dyDescent="0.45">
      <c r="A237" s="25">
        <f>'2_Cleaned_Data'!M236</f>
        <v>763159.92</v>
      </c>
      <c r="B237" s="25">
        <f>'2_Cleaned_Data'!E236</f>
        <v>53546.34</v>
      </c>
      <c r="C237" s="26">
        <f>'2_Cleaned_Data'!F236</f>
        <v>8004</v>
      </c>
      <c r="D237" s="26">
        <f>'2_Cleaned_Data'!G236</f>
        <v>0</v>
      </c>
      <c r="E237" s="26">
        <f>'2_Cleaned_Data'!I236</f>
        <v>95.2</v>
      </c>
      <c r="F237" s="26">
        <f>IF('2_Cleaned_Data'!D236="Airport",1,0)</f>
        <v>1</v>
      </c>
      <c r="G237" s="26">
        <f>IF('2_Cleaned_Data'!D236="High Street",1,0)</f>
        <v>0</v>
      </c>
      <c r="H237" s="26">
        <f>IF('2_Cleaned_Data'!D236="Mall",1,0)</f>
        <v>0</v>
      </c>
    </row>
    <row r="238" spans="1:8" x14ac:dyDescent="0.45">
      <c r="A238" s="25">
        <f>'2_Cleaned_Data'!M237</f>
        <v>802001.68</v>
      </c>
      <c r="B238" s="25">
        <f>'2_Cleaned_Data'!E237</f>
        <v>76942.2</v>
      </c>
      <c r="C238" s="26">
        <f>'2_Cleaned_Data'!F237</f>
        <v>8934</v>
      </c>
      <c r="D238" s="26">
        <f>'2_Cleaned_Data'!G237</f>
        <v>8.4000000000000005E-2</v>
      </c>
      <c r="E238" s="26">
        <f>'2_Cleaned_Data'!I237</f>
        <v>91</v>
      </c>
      <c r="F238" s="26">
        <f>IF('2_Cleaned_Data'!D237="Airport",1,0)</f>
        <v>0</v>
      </c>
      <c r="G238" s="26">
        <f>IF('2_Cleaned_Data'!D237="High Street",1,0)</f>
        <v>1</v>
      </c>
      <c r="H238" s="26">
        <f>IF('2_Cleaned_Data'!D237="Mall",1,0)</f>
        <v>0</v>
      </c>
    </row>
    <row r="239" spans="1:8" x14ac:dyDescent="0.45">
      <c r="A239" s="25">
        <f>'2_Cleaned_Data'!M238</f>
        <v>750471.34</v>
      </c>
      <c r="B239" s="25">
        <f>'2_Cleaned_Data'!E238</f>
        <v>48060.78</v>
      </c>
      <c r="C239" s="26">
        <f>'2_Cleaned_Data'!F238</f>
        <v>8733</v>
      </c>
      <c r="D239" s="26">
        <f>'2_Cleaned_Data'!G238</f>
        <v>0</v>
      </c>
      <c r="E239" s="26">
        <f>'2_Cleaned_Data'!I238</f>
        <v>89.9</v>
      </c>
      <c r="F239" s="26">
        <f>IF('2_Cleaned_Data'!D238="Airport",1,0)</f>
        <v>0</v>
      </c>
      <c r="G239" s="26">
        <f>IF('2_Cleaned_Data'!D238="High Street",1,0)</f>
        <v>1</v>
      </c>
      <c r="H239" s="26">
        <f>IF('2_Cleaned_Data'!D238="Mall",1,0)</f>
        <v>0</v>
      </c>
    </row>
    <row r="240" spans="1:8" x14ac:dyDescent="0.45">
      <c r="A240" s="25">
        <f>'2_Cleaned_Data'!M239</f>
        <v>679230.86</v>
      </c>
      <c r="B240" s="25">
        <f>'2_Cleaned_Data'!E239</f>
        <v>57390.04</v>
      </c>
      <c r="C240" s="26">
        <f>'2_Cleaned_Data'!F239</f>
        <v>7374</v>
      </c>
      <c r="D240" s="26">
        <f>'2_Cleaned_Data'!G239</f>
        <v>0.21</v>
      </c>
      <c r="E240" s="26">
        <f>'2_Cleaned_Data'!I239</f>
        <v>91.8</v>
      </c>
      <c r="F240" s="26">
        <f>IF('2_Cleaned_Data'!D239="Airport",1,0)</f>
        <v>0</v>
      </c>
      <c r="G240" s="26">
        <f>IF('2_Cleaned_Data'!D239="High Street",1,0)</f>
        <v>1</v>
      </c>
      <c r="H240" s="26">
        <f>IF('2_Cleaned_Data'!D239="Mall",1,0)</f>
        <v>0</v>
      </c>
    </row>
    <row r="241" spans="1:8" x14ac:dyDescent="0.45">
      <c r="A241" s="25">
        <f>'2_Cleaned_Data'!M240</f>
        <v>679888.74</v>
      </c>
      <c r="B241" s="25">
        <f>'2_Cleaned_Data'!E240</f>
        <v>21536.18</v>
      </c>
      <c r="C241" s="26">
        <f>'2_Cleaned_Data'!F240</f>
        <v>8119</v>
      </c>
      <c r="D241" s="26">
        <f>'2_Cleaned_Data'!G240</f>
        <v>0.22700000000000001</v>
      </c>
      <c r="E241" s="26">
        <f>'2_Cleaned_Data'!I240</f>
        <v>90.4</v>
      </c>
      <c r="F241" s="26">
        <f>IF('2_Cleaned_Data'!D240="Airport",1,0)</f>
        <v>0</v>
      </c>
      <c r="G241" s="26">
        <f>IF('2_Cleaned_Data'!D240="High Street",1,0)</f>
        <v>1</v>
      </c>
      <c r="H241" s="26">
        <f>IF('2_Cleaned_Data'!D240="Mall",1,0)</f>
        <v>0</v>
      </c>
    </row>
    <row r="242" spans="1:8" x14ac:dyDescent="0.45">
      <c r="A242" s="25">
        <f>'2_Cleaned_Data'!M241</f>
        <v>642751.42000000004</v>
      </c>
      <c r="B242" s="25">
        <f>'2_Cleaned_Data'!E241</f>
        <v>72932.55</v>
      </c>
      <c r="C242" s="26">
        <f>'2_Cleaned_Data'!F241</f>
        <v>5765</v>
      </c>
      <c r="D242" s="26">
        <f>'2_Cleaned_Data'!G241</f>
        <v>2.5999999999999999E-2</v>
      </c>
      <c r="E242" s="26">
        <f>'2_Cleaned_Data'!I241</f>
        <v>81.8</v>
      </c>
      <c r="F242" s="26">
        <f>IF('2_Cleaned_Data'!D241="Airport",1,0)</f>
        <v>0</v>
      </c>
      <c r="G242" s="26">
        <f>IF('2_Cleaned_Data'!D241="High Street",1,0)</f>
        <v>1</v>
      </c>
      <c r="H242" s="26">
        <f>IF('2_Cleaned_Data'!D241="Mall",1,0)</f>
        <v>0</v>
      </c>
    </row>
    <row r="243" spans="1:8" x14ac:dyDescent="0.45">
      <c r="A243" s="25">
        <f>'2_Cleaned_Data'!M242</f>
        <v>647953.78</v>
      </c>
      <c r="B243" s="25">
        <f>'2_Cleaned_Data'!E242</f>
        <v>38361.93</v>
      </c>
      <c r="C243" s="26">
        <f>'2_Cleaned_Data'!F242</f>
        <v>6322</v>
      </c>
      <c r="D243" s="26">
        <f>'2_Cleaned_Data'!G242</f>
        <v>0.27300000000000002</v>
      </c>
      <c r="E243" s="26">
        <f>'2_Cleaned_Data'!I242</f>
        <v>88.4</v>
      </c>
      <c r="F243" s="26">
        <f>IF('2_Cleaned_Data'!D242="Airport",1,0)</f>
        <v>0</v>
      </c>
      <c r="G243" s="26">
        <f>IF('2_Cleaned_Data'!D242="High Street",1,0)</f>
        <v>1</v>
      </c>
      <c r="H243" s="26">
        <f>IF('2_Cleaned_Data'!D242="Mall",1,0)</f>
        <v>0</v>
      </c>
    </row>
    <row r="244" spans="1:8" x14ac:dyDescent="0.45">
      <c r="A244" s="25">
        <f>'2_Cleaned_Data'!M243</f>
        <v>729440.45</v>
      </c>
      <c r="B244" s="25">
        <f>'2_Cleaned_Data'!E243</f>
        <v>97480.94</v>
      </c>
      <c r="C244" s="26">
        <f>'2_Cleaned_Data'!F243</f>
        <v>6840</v>
      </c>
      <c r="D244" s="26">
        <f>'2_Cleaned_Data'!G243</f>
        <v>8.6999999999999994E-2</v>
      </c>
      <c r="E244" s="26">
        <f>'2_Cleaned_Data'!I243</f>
        <v>79.2</v>
      </c>
      <c r="F244" s="26">
        <f>IF('2_Cleaned_Data'!D243="Airport",1,0)</f>
        <v>0</v>
      </c>
      <c r="G244" s="26">
        <f>IF('2_Cleaned_Data'!D243="High Street",1,0)</f>
        <v>1</v>
      </c>
      <c r="H244" s="26">
        <f>IF('2_Cleaned_Data'!D243="Mall",1,0)</f>
        <v>0</v>
      </c>
    </row>
    <row r="245" spans="1:8" x14ac:dyDescent="0.45">
      <c r="A245" s="25">
        <f>'2_Cleaned_Data'!M244</f>
        <v>764949</v>
      </c>
      <c r="B245" s="25">
        <f>'2_Cleaned_Data'!E244</f>
        <v>81801.8</v>
      </c>
      <c r="C245" s="26">
        <f>'2_Cleaned_Data'!F244</f>
        <v>6782</v>
      </c>
      <c r="D245" s="26">
        <f>'2_Cleaned_Data'!G244</f>
        <v>0.05</v>
      </c>
      <c r="E245" s="26">
        <f>'2_Cleaned_Data'!I244</f>
        <v>99</v>
      </c>
      <c r="F245" s="26">
        <f>IF('2_Cleaned_Data'!D244="Airport",1,0)</f>
        <v>1</v>
      </c>
      <c r="G245" s="26">
        <f>IF('2_Cleaned_Data'!D244="High Street",1,0)</f>
        <v>0</v>
      </c>
      <c r="H245" s="26">
        <f>IF('2_Cleaned_Data'!D244="Mall",1,0)</f>
        <v>0</v>
      </c>
    </row>
    <row r="246" spans="1:8" x14ac:dyDescent="0.45">
      <c r="A246" s="25">
        <f>'2_Cleaned_Data'!M245</f>
        <v>799046.94</v>
      </c>
      <c r="B246" s="25">
        <f>'2_Cleaned_Data'!E245</f>
        <v>63582.11</v>
      </c>
      <c r="C246" s="26">
        <f>'2_Cleaned_Data'!F245</f>
        <v>6856</v>
      </c>
      <c r="D246" s="26">
        <f>'2_Cleaned_Data'!G245</f>
        <v>7.3999999999999996E-2</v>
      </c>
      <c r="E246" s="26">
        <f>'2_Cleaned_Data'!I245</f>
        <v>89.5</v>
      </c>
      <c r="F246" s="26">
        <f>IF('2_Cleaned_Data'!D245="Airport",1,0)</f>
        <v>1</v>
      </c>
      <c r="G246" s="26">
        <f>IF('2_Cleaned_Data'!D245="High Street",1,0)</f>
        <v>0</v>
      </c>
      <c r="H246" s="26">
        <f>IF('2_Cleaned_Data'!D245="Mall",1,0)</f>
        <v>0</v>
      </c>
    </row>
    <row r="247" spans="1:8" x14ac:dyDescent="0.45">
      <c r="A247" s="25">
        <f>'2_Cleaned_Data'!M246</f>
        <v>720079.54</v>
      </c>
      <c r="B247" s="25">
        <f>'2_Cleaned_Data'!E246</f>
        <v>75412.740000000005</v>
      </c>
      <c r="C247" s="26">
        <f>'2_Cleaned_Data'!F246</f>
        <v>5641</v>
      </c>
      <c r="D247" s="26">
        <f>'2_Cleaned_Data'!G246</f>
        <v>5.8999999999999997E-2</v>
      </c>
      <c r="E247" s="26">
        <f>'2_Cleaned_Data'!I246</f>
        <v>87.9</v>
      </c>
      <c r="F247" s="26">
        <f>IF('2_Cleaned_Data'!D246="Airport",1,0)</f>
        <v>1</v>
      </c>
      <c r="G247" s="26">
        <f>IF('2_Cleaned_Data'!D246="High Street",1,0)</f>
        <v>0</v>
      </c>
      <c r="H247" s="26">
        <f>IF('2_Cleaned_Data'!D246="Mall",1,0)</f>
        <v>0</v>
      </c>
    </row>
    <row r="248" spans="1:8" x14ac:dyDescent="0.45">
      <c r="A248" s="25">
        <f>'2_Cleaned_Data'!M247</f>
        <v>612390.14</v>
      </c>
      <c r="B248" s="25">
        <f>'2_Cleaned_Data'!E247</f>
        <v>36290.080000000002</v>
      </c>
      <c r="C248" s="26">
        <f>'2_Cleaned_Data'!F247</f>
        <v>5787</v>
      </c>
      <c r="D248" s="26">
        <f>'2_Cleaned_Data'!G247</f>
        <v>0</v>
      </c>
      <c r="E248" s="26">
        <f>'2_Cleaned_Data'!I247</f>
        <v>88.3</v>
      </c>
      <c r="F248" s="26">
        <f>IF('2_Cleaned_Data'!D247="Airport",1,0)</f>
        <v>1</v>
      </c>
      <c r="G248" s="26">
        <f>IF('2_Cleaned_Data'!D247="High Street",1,0)</f>
        <v>0</v>
      </c>
      <c r="H248" s="26">
        <f>IF('2_Cleaned_Data'!D247="Mall",1,0)</f>
        <v>0</v>
      </c>
    </row>
    <row r="249" spans="1:8" x14ac:dyDescent="0.45">
      <c r="A249" s="25">
        <f>'2_Cleaned_Data'!M248</f>
        <v>840108.12</v>
      </c>
      <c r="B249" s="25">
        <f>'2_Cleaned_Data'!E248</f>
        <v>65272.58</v>
      </c>
      <c r="C249" s="26">
        <f>'2_Cleaned_Data'!F248</f>
        <v>8165</v>
      </c>
      <c r="D249" s="26">
        <f>'2_Cleaned_Data'!G248</f>
        <v>5.0999999999999997E-2</v>
      </c>
      <c r="E249" s="26">
        <f>'2_Cleaned_Data'!I248</f>
        <v>87.8</v>
      </c>
      <c r="F249" s="26">
        <f>IF('2_Cleaned_Data'!D248="Airport",1,0)</f>
        <v>0</v>
      </c>
      <c r="G249" s="26">
        <f>IF('2_Cleaned_Data'!D248="High Street",1,0)</f>
        <v>0</v>
      </c>
      <c r="H249" s="26">
        <f>IF('2_Cleaned_Data'!D248="Mall",1,0)</f>
        <v>1</v>
      </c>
    </row>
    <row r="250" spans="1:8" x14ac:dyDescent="0.45">
      <c r="A250" s="25">
        <f>'2_Cleaned_Data'!M249</f>
        <v>697888.09</v>
      </c>
      <c r="B250" s="25">
        <f>'2_Cleaned_Data'!E249</f>
        <v>28670.43</v>
      </c>
      <c r="C250" s="26">
        <f>'2_Cleaned_Data'!F249</f>
        <v>7574</v>
      </c>
      <c r="D250" s="26">
        <f>'2_Cleaned_Data'!G249</f>
        <v>0.114</v>
      </c>
      <c r="E250" s="26">
        <f>'2_Cleaned_Data'!I249</f>
        <v>82.7</v>
      </c>
      <c r="F250" s="26">
        <f>IF('2_Cleaned_Data'!D249="Airport",1,0)</f>
        <v>0</v>
      </c>
      <c r="G250" s="26">
        <f>IF('2_Cleaned_Data'!D249="High Street",1,0)</f>
        <v>0</v>
      </c>
      <c r="H250" s="26">
        <f>IF('2_Cleaned_Data'!D249="Mall",1,0)</f>
        <v>1</v>
      </c>
    </row>
    <row r="251" spans="1:8" x14ac:dyDescent="0.45">
      <c r="A251" s="25">
        <f>'2_Cleaned_Data'!M250</f>
        <v>746115.59</v>
      </c>
      <c r="B251" s="25">
        <f>'2_Cleaned_Data'!E250</f>
        <v>44189.34</v>
      </c>
      <c r="C251" s="26">
        <f>'2_Cleaned_Data'!F250</f>
        <v>8634</v>
      </c>
      <c r="D251" s="26">
        <f>'2_Cleaned_Data'!G250</f>
        <v>0.14299999999999999</v>
      </c>
      <c r="E251" s="26">
        <f>'2_Cleaned_Data'!I250</f>
        <v>87.5</v>
      </c>
      <c r="F251" s="26">
        <f>IF('2_Cleaned_Data'!D250="Airport",1,0)</f>
        <v>0</v>
      </c>
      <c r="G251" s="26">
        <f>IF('2_Cleaned_Data'!D250="High Street",1,0)</f>
        <v>0</v>
      </c>
      <c r="H251" s="26">
        <f>IF('2_Cleaned_Data'!D250="Mall",1,0)</f>
        <v>1</v>
      </c>
    </row>
    <row r="252" spans="1:8" x14ac:dyDescent="0.45">
      <c r="A252" s="25">
        <f>'2_Cleaned_Data'!M251</f>
        <v>776110.32</v>
      </c>
      <c r="B252" s="25">
        <f>'2_Cleaned_Data'!E251</f>
        <v>38397.82</v>
      </c>
      <c r="C252" s="26">
        <f>'2_Cleaned_Data'!F251</f>
        <v>7836</v>
      </c>
      <c r="D252" s="26">
        <f>'2_Cleaned_Data'!G251</f>
        <v>7.0000000000000001E-3</v>
      </c>
      <c r="E252" s="26">
        <f>'2_Cleaned_Data'!I251</f>
        <v>92.2</v>
      </c>
      <c r="F252" s="26">
        <f>IF('2_Cleaned_Data'!D251="Airport",1,0)</f>
        <v>0</v>
      </c>
      <c r="G252" s="26">
        <f>IF('2_Cleaned_Data'!D251="High Street",1,0)</f>
        <v>0</v>
      </c>
      <c r="H252" s="26">
        <f>IF('2_Cleaned_Data'!D251="Mall",1,0)</f>
        <v>1</v>
      </c>
    </row>
    <row r="253" spans="1:8" x14ac:dyDescent="0.45">
      <c r="A253" s="25">
        <f>'2_Cleaned_Data'!M252</f>
        <v>528852.62</v>
      </c>
      <c r="B253" s="25">
        <f>'2_Cleaned_Data'!E252</f>
        <v>14519.37</v>
      </c>
      <c r="C253" s="26">
        <f>'2_Cleaned_Data'!F252</f>
        <v>3047</v>
      </c>
      <c r="D253" s="26">
        <f>'2_Cleaned_Data'!G252</f>
        <v>0.13500000000000001</v>
      </c>
      <c r="E253" s="26">
        <f>'2_Cleaned_Data'!I252</f>
        <v>90.3</v>
      </c>
      <c r="F253" s="26">
        <f>IF('2_Cleaned_Data'!D252="Airport",1,0)</f>
        <v>0</v>
      </c>
      <c r="G253" s="26">
        <f>IF('2_Cleaned_Data'!D252="High Street",1,0)</f>
        <v>1</v>
      </c>
      <c r="H253" s="26">
        <f>IF('2_Cleaned_Data'!D252="Mall",1,0)</f>
        <v>0</v>
      </c>
    </row>
    <row r="254" spans="1:8" x14ac:dyDescent="0.45">
      <c r="A254" s="25">
        <f>'2_Cleaned_Data'!M253</f>
        <v>677640.65</v>
      </c>
      <c r="B254" s="25">
        <f>'2_Cleaned_Data'!E253</f>
        <v>51450.55</v>
      </c>
      <c r="C254" s="26">
        <f>'2_Cleaned_Data'!F253</f>
        <v>4902</v>
      </c>
      <c r="D254" s="26">
        <f>'2_Cleaned_Data'!G253</f>
        <v>8.5999999999999993E-2</v>
      </c>
      <c r="E254" s="26">
        <f>'2_Cleaned_Data'!I253</f>
        <v>83.7</v>
      </c>
      <c r="F254" s="26">
        <f>IF('2_Cleaned_Data'!D253="Airport",1,0)</f>
        <v>0</v>
      </c>
      <c r="G254" s="26">
        <f>IF('2_Cleaned_Data'!D253="High Street",1,0)</f>
        <v>1</v>
      </c>
      <c r="H254" s="26">
        <f>IF('2_Cleaned_Data'!D253="Mall",1,0)</f>
        <v>0</v>
      </c>
    </row>
    <row r="255" spans="1:8" x14ac:dyDescent="0.45">
      <c r="A255" s="25">
        <f>'2_Cleaned_Data'!M254</f>
        <v>636613.23</v>
      </c>
      <c r="B255" s="25">
        <f>'2_Cleaned_Data'!E254</f>
        <v>58688.26</v>
      </c>
      <c r="C255" s="26">
        <f>'2_Cleaned_Data'!F254</f>
        <v>4022</v>
      </c>
      <c r="D255" s="26">
        <f>'2_Cleaned_Data'!G254</f>
        <v>0.217</v>
      </c>
      <c r="E255" s="26">
        <f>'2_Cleaned_Data'!I254</f>
        <v>93.8</v>
      </c>
      <c r="F255" s="26">
        <f>IF('2_Cleaned_Data'!D254="Airport",1,0)</f>
        <v>0</v>
      </c>
      <c r="G255" s="26">
        <f>IF('2_Cleaned_Data'!D254="High Street",1,0)</f>
        <v>1</v>
      </c>
      <c r="H255" s="26">
        <f>IF('2_Cleaned_Data'!D254="Mall",1,0)</f>
        <v>0</v>
      </c>
    </row>
    <row r="256" spans="1:8" x14ac:dyDescent="0.45">
      <c r="A256" s="25">
        <f>'2_Cleaned_Data'!M255</f>
        <v>708985.19</v>
      </c>
      <c r="B256" s="25">
        <f>'2_Cleaned_Data'!E255</f>
        <v>58981.91</v>
      </c>
      <c r="C256" s="26">
        <f>'2_Cleaned_Data'!F255</f>
        <v>7324</v>
      </c>
      <c r="D256" s="26">
        <f>'2_Cleaned_Data'!G255</f>
        <v>9.4E-2</v>
      </c>
      <c r="E256" s="26">
        <f>'2_Cleaned_Data'!I255</f>
        <v>95.8</v>
      </c>
      <c r="F256" s="26">
        <f>IF('2_Cleaned_Data'!D255="Airport",1,0)</f>
        <v>0</v>
      </c>
      <c r="G256" s="26">
        <f>IF('2_Cleaned_Data'!D255="High Street",1,0)</f>
        <v>1</v>
      </c>
      <c r="H256" s="26">
        <f>IF('2_Cleaned_Data'!D255="Mall",1,0)</f>
        <v>0</v>
      </c>
    </row>
    <row r="257" spans="1:8" x14ac:dyDescent="0.45">
      <c r="A257" s="25">
        <f>'2_Cleaned_Data'!M256</f>
        <v>767792.94</v>
      </c>
      <c r="B257" s="25">
        <f>'2_Cleaned_Data'!E256</f>
        <v>73454.539999999994</v>
      </c>
      <c r="C257" s="26">
        <f>'2_Cleaned_Data'!F256</f>
        <v>8129</v>
      </c>
      <c r="D257" s="26">
        <f>'2_Cleaned_Data'!G256</f>
        <v>0.21099999999999999</v>
      </c>
      <c r="E257" s="26">
        <f>'2_Cleaned_Data'!I256</f>
        <v>85.2</v>
      </c>
      <c r="F257" s="26">
        <f>IF('2_Cleaned_Data'!D256="Airport",1,0)</f>
        <v>0</v>
      </c>
      <c r="G257" s="26">
        <f>IF('2_Cleaned_Data'!D256="High Street",1,0)</f>
        <v>1</v>
      </c>
      <c r="H257" s="26">
        <f>IF('2_Cleaned_Data'!D256="Mall",1,0)</f>
        <v>0</v>
      </c>
    </row>
    <row r="258" spans="1:8" x14ac:dyDescent="0.45">
      <c r="A258" s="25">
        <f>'2_Cleaned_Data'!M257</f>
        <v>745580.51</v>
      </c>
      <c r="B258" s="25">
        <f>'2_Cleaned_Data'!E257</f>
        <v>56602.39</v>
      </c>
      <c r="C258" s="26">
        <f>'2_Cleaned_Data'!F257</f>
        <v>7969</v>
      </c>
      <c r="D258" s="26">
        <f>'2_Cleaned_Data'!G257</f>
        <v>0.17</v>
      </c>
      <c r="E258" s="26">
        <f>'2_Cleaned_Data'!I257</f>
        <v>88.3</v>
      </c>
      <c r="F258" s="26">
        <f>IF('2_Cleaned_Data'!D257="Airport",1,0)</f>
        <v>0</v>
      </c>
      <c r="G258" s="26">
        <f>IF('2_Cleaned_Data'!D257="High Street",1,0)</f>
        <v>1</v>
      </c>
      <c r="H258" s="26">
        <f>IF('2_Cleaned_Data'!D257="Mall",1,0)</f>
        <v>0</v>
      </c>
    </row>
    <row r="259" spans="1:8" x14ac:dyDescent="0.45">
      <c r="A259" s="25">
        <f>'2_Cleaned_Data'!M258</f>
        <v>762328.31</v>
      </c>
      <c r="B259" s="25">
        <f>'2_Cleaned_Data'!E258</f>
        <v>67722.289999999994</v>
      </c>
      <c r="C259" s="26">
        <f>'2_Cleaned_Data'!F258</f>
        <v>7240</v>
      </c>
      <c r="D259" s="26">
        <f>'2_Cleaned_Data'!G258</f>
        <v>2.5999999999999999E-2</v>
      </c>
      <c r="E259" s="26">
        <f>'2_Cleaned_Data'!I258</f>
        <v>92.9</v>
      </c>
      <c r="F259" s="26">
        <f>IF('2_Cleaned_Data'!D258="Airport",1,0)</f>
        <v>0</v>
      </c>
      <c r="G259" s="26">
        <f>IF('2_Cleaned_Data'!D258="High Street",1,0)</f>
        <v>1</v>
      </c>
      <c r="H259" s="26">
        <f>IF('2_Cleaned_Data'!D258="Mall",1,0)</f>
        <v>0</v>
      </c>
    </row>
    <row r="260" spans="1:8" x14ac:dyDescent="0.45">
      <c r="A260" s="25">
        <f>'2_Cleaned_Data'!M259</f>
        <v>660633.99</v>
      </c>
      <c r="B260" s="25">
        <f>'2_Cleaned_Data'!E259</f>
        <v>48752.92</v>
      </c>
      <c r="C260" s="26">
        <f>'2_Cleaned_Data'!F259</f>
        <v>8052</v>
      </c>
      <c r="D260" s="26">
        <f>'2_Cleaned_Data'!G259</f>
        <v>0.106</v>
      </c>
      <c r="E260" s="26">
        <f>'2_Cleaned_Data'!I259</f>
        <v>94.9</v>
      </c>
      <c r="F260" s="26">
        <f>IF('2_Cleaned_Data'!D259="Airport",1,0)</f>
        <v>0</v>
      </c>
      <c r="G260" s="26">
        <f>IF('2_Cleaned_Data'!D259="High Street",1,0)</f>
        <v>0</v>
      </c>
      <c r="H260" s="26">
        <f>IF('2_Cleaned_Data'!D259="Mall",1,0)</f>
        <v>1</v>
      </c>
    </row>
    <row r="261" spans="1:8" x14ac:dyDescent="0.45">
      <c r="A261" s="25">
        <f>'2_Cleaned_Data'!M260</f>
        <v>739374.56</v>
      </c>
      <c r="B261" s="25">
        <f>'2_Cleaned_Data'!E260</f>
        <v>23914.97</v>
      </c>
      <c r="C261" s="26">
        <f>'2_Cleaned_Data'!F260</f>
        <v>8018</v>
      </c>
      <c r="D261" s="26">
        <f>'2_Cleaned_Data'!G260</f>
        <v>0.13900000000000001</v>
      </c>
      <c r="E261" s="26">
        <f>'2_Cleaned_Data'!I260</f>
        <v>89</v>
      </c>
      <c r="F261" s="26">
        <f>IF('2_Cleaned_Data'!D260="Airport",1,0)</f>
        <v>0</v>
      </c>
      <c r="G261" s="26">
        <f>IF('2_Cleaned_Data'!D260="High Street",1,0)</f>
        <v>0</v>
      </c>
      <c r="H261" s="26">
        <f>IF('2_Cleaned_Data'!D260="Mall",1,0)</f>
        <v>1</v>
      </c>
    </row>
    <row r="262" spans="1:8" x14ac:dyDescent="0.45">
      <c r="A262" s="25">
        <f>'2_Cleaned_Data'!M261</f>
        <v>799756.46</v>
      </c>
      <c r="B262" s="25">
        <f>'2_Cleaned_Data'!E261</f>
        <v>61995.3</v>
      </c>
      <c r="C262" s="26">
        <f>'2_Cleaned_Data'!F261</f>
        <v>10192</v>
      </c>
      <c r="D262" s="26">
        <f>'2_Cleaned_Data'!G261</f>
        <v>0.19800000000000001</v>
      </c>
      <c r="E262" s="26">
        <f>'2_Cleaned_Data'!I261</f>
        <v>87.6</v>
      </c>
      <c r="F262" s="26">
        <f>IF('2_Cleaned_Data'!D261="Airport",1,0)</f>
        <v>0</v>
      </c>
      <c r="G262" s="26">
        <f>IF('2_Cleaned_Data'!D261="High Street",1,0)</f>
        <v>0</v>
      </c>
      <c r="H262" s="26">
        <f>IF('2_Cleaned_Data'!D261="Mall",1,0)</f>
        <v>1</v>
      </c>
    </row>
    <row r="263" spans="1:8" x14ac:dyDescent="0.45">
      <c r="A263" s="25">
        <f>'2_Cleaned_Data'!M262</f>
        <v>593343</v>
      </c>
      <c r="B263" s="25">
        <f>'2_Cleaned_Data'!E262</f>
        <v>29344.93</v>
      </c>
      <c r="C263" s="26">
        <f>'2_Cleaned_Data'!F262</f>
        <v>7446</v>
      </c>
      <c r="D263" s="26">
        <f>'2_Cleaned_Data'!G262</f>
        <v>0.111</v>
      </c>
      <c r="E263" s="26">
        <f>'2_Cleaned_Data'!I262</f>
        <v>86.2</v>
      </c>
      <c r="F263" s="26">
        <f>IF('2_Cleaned_Data'!D262="Airport",1,0)</f>
        <v>0</v>
      </c>
      <c r="G263" s="26">
        <f>IF('2_Cleaned_Data'!D262="High Street",1,0)</f>
        <v>0</v>
      </c>
      <c r="H263" s="26">
        <f>IF('2_Cleaned_Data'!D262="Mall",1,0)</f>
        <v>1</v>
      </c>
    </row>
    <row r="264" spans="1:8" x14ac:dyDescent="0.45">
      <c r="A264" s="25">
        <f>'2_Cleaned_Data'!M263</f>
        <v>645039.97</v>
      </c>
      <c r="B264" s="25">
        <f>'2_Cleaned_Data'!E263</f>
        <v>50532.17</v>
      </c>
      <c r="C264" s="26">
        <f>'2_Cleaned_Data'!F263</f>
        <v>5689</v>
      </c>
      <c r="D264" s="26">
        <f>'2_Cleaned_Data'!G263</f>
        <v>5.1999999999999998E-2</v>
      </c>
      <c r="E264" s="26">
        <f>'2_Cleaned_Data'!I263</f>
        <v>85.6</v>
      </c>
      <c r="F264" s="26">
        <f>IF('2_Cleaned_Data'!D263="Airport",1,0)</f>
        <v>0</v>
      </c>
      <c r="G264" s="26">
        <f>IF('2_Cleaned_Data'!D263="High Street",1,0)</f>
        <v>1</v>
      </c>
      <c r="H264" s="26">
        <f>IF('2_Cleaned_Data'!D263="Mall",1,0)</f>
        <v>0</v>
      </c>
    </row>
    <row r="265" spans="1:8" x14ac:dyDescent="0.45">
      <c r="A265" s="25">
        <f>'2_Cleaned_Data'!M264</f>
        <v>561597.32999999996</v>
      </c>
      <c r="B265" s="25">
        <f>'2_Cleaned_Data'!E264</f>
        <v>17562.57</v>
      </c>
      <c r="C265" s="26">
        <f>'2_Cleaned_Data'!F264</f>
        <v>3326</v>
      </c>
      <c r="D265" s="26">
        <f>'2_Cleaned_Data'!G264</f>
        <v>0.153</v>
      </c>
      <c r="E265" s="26">
        <f>'2_Cleaned_Data'!I264</f>
        <v>88.1</v>
      </c>
      <c r="F265" s="26">
        <f>IF('2_Cleaned_Data'!D264="Airport",1,0)</f>
        <v>0</v>
      </c>
      <c r="G265" s="26">
        <f>IF('2_Cleaned_Data'!D264="High Street",1,0)</f>
        <v>1</v>
      </c>
      <c r="H265" s="26">
        <f>IF('2_Cleaned_Data'!D264="Mall",1,0)</f>
        <v>0</v>
      </c>
    </row>
    <row r="266" spans="1:8" x14ac:dyDescent="0.45">
      <c r="A266" s="25">
        <f>'2_Cleaned_Data'!M265</f>
        <v>635837.74</v>
      </c>
      <c r="B266" s="25">
        <f>'2_Cleaned_Data'!E265</f>
        <v>47648.71</v>
      </c>
      <c r="C266" s="26">
        <f>'2_Cleaned_Data'!F265</f>
        <v>5767</v>
      </c>
      <c r="D266" s="26">
        <f>'2_Cleaned_Data'!G265</f>
        <v>0.14099999999999999</v>
      </c>
      <c r="E266" s="26">
        <f>'2_Cleaned_Data'!I265</f>
        <v>89.8</v>
      </c>
      <c r="F266" s="26">
        <f>IF('2_Cleaned_Data'!D265="Airport",1,0)</f>
        <v>0</v>
      </c>
      <c r="G266" s="26">
        <f>IF('2_Cleaned_Data'!D265="High Street",1,0)</f>
        <v>1</v>
      </c>
      <c r="H266" s="26">
        <f>IF('2_Cleaned_Data'!D265="Mall",1,0)</f>
        <v>0</v>
      </c>
    </row>
    <row r="267" spans="1:8" x14ac:dyDescent="0.45">
      <c r="A267" s="25">
        <f>'2_Cleaned_Data'!M266</f>
        <v>686737.87</v>
      </c>
      <c r="B267" s="25">
        <f>'2_Cleaned_Data'!E266</f>
        <v>38297.58</v>
      </c>
      <c r="C267" s="26">
        <f>'2_Cleaned_Data'!F266</f>
        <v>5893</v>
      </c>
      <c r="D267" s="26">
        <f>'2_Cleaned_Data'!G266</f>
        <v>0.247</v>
      </c>
      <c r="E267" s="26">
        <f>'2_Cleaned_Data'!I266</f>
        <v>77.599999999999994</v>
      </c>
      <c r="F267" s="26">
        <f>IF('2_Cleaned_Data'!D266="Airport",1,0)</f>
        <v>0</v>
      </c>
      <c r="G267" s="26">
        <f>IF('2_Cleaned_Data'!D266="High Street",1,0)</f>
        <v>1</v>
      </c>
      <c r="H267" s="26">
        <f>IF('2_Cleaned_Data'!D266="Mall",1,0)</f>
        <v>0</v>
      </c>
    </row>
    <row r="268" spans="1:8" x14ac:dyDescent="0.45">
      <c r="A268" s="25">
        <f>'2_Cleaned_Data'!M267</f>
        <v>673076.34</v>
      </c>
      <c r="B268" s="25">
        <f>'2_Cleaned_Data'!E267</f>
        <v>61784.11</v>
      </c>
      <c r="C268" s="26">
        <f>'2_Cleaned_Data'!F267</f>
        <v>8564</v>
      </c>
      <c r="D268" s="26">
        <f>'2_Cleaned_Data'!G267</f>
        <v>0.13</v>
      </c>
      <c r="E268" s="26">
        <f>'2_Cleaned_Data'!I267</f>
        <v>87.4</v>
      </c>
      <c r="F268" s="26">
        <f>IF('2_Cleaned_Data'!D267="Airport",1,0)</f>
        <v>0</v>
      </c>
      <c r="G268" s="26">
        <f>IF('2_Cleaned_Data'!D267="High Street",1,0)</f>
        <v>0</v>
      </c>
      <c r="H268" s="26">
        <f>IF('2_Cleaned_Data'!D267="Mall",1,0)</f>
        <v>0</v>
      </c>
    </row>
    <row r="269" spans="1:8" x14ac:dyDescent="0.45">
      <c r="A269" s="25">
        <f>'2_Cleaned_Data'!M268</f>
        <v>738548.42</v>
      </c>
      <c r="B269" s="25">
        <f>'2_Cleaned_Data'!E268</f>
        <v>36832.33</v>
      </c>
      <c r="C269" s="26">
        <f>'2_Cleaned_Data'!F268</f>
        <v>8001</v>
      </c>
      <c r="D269" s="26">
        <f>'2_Cleaned_Data'!G268</f>
        <v>0</v>
      </c>
      <c r="E269" s="26">
        <f>'2_Cleaned_Data'!I268</f>
        <v>88.7</v>
      </c>
      <c r="F269" s="26">
        <f>IF('2_Cleaned_Data'!D268="Airport",1,0)</f>
        <v>0</v>
      </c>
      <c r="G269" s="26">
        <f>IF('2_Cleaned_Data'!D268="High Street",1,0)</f>
        <v>0</v>
      </c>
      <c r="H269" s="26">
        <f>IF('2_Cleaned_Data'!D268="Mall",1,0)</f>
        <v>0</v>
      </c>
    </row>
    <row r="270" spans="1:8" x14ac:dyDescent="0.45">
      <c r="A270" s="25">
        <f>'2_Cleaned_Data'!M269</f>
        <v>756619.77</v>
      </c>
      <c r="B270" s="25">
        <f>'2_Cleaned_Data'!E269</f>
        <v>48609.41</v>
      </c>
      <c r="C270" s="26">
        <f>'2_Cleaned_Data'!F269</f>
        <v>9324</v>
      </c>
      <c r="D270" s="26">
        <f>'2_Cleaned_Data'!G269</f>
        <v>0.21299999999999999</v>
      </c>
      <c r="E270" s="26">
        <f>'2_Cleaned_Data'!I269</f>
        <v>86.5</v>
      </c>
      <c r="F270" s="26">
        <f>IF('2_Cleaned_Data'!D269="Airport",1,0)</f>
        <v>0</v>
      </c>
      <c r="G270" s="26">
        <f>IF('2_Cleaned_Data'!D269="High Street",1,0)</f>
        <v>0</v>
      </c>
      <c r="H270" s="26">
        <f>IF('2_Cleaned_Data'!D269="Mall",1,0)</f>
        <v>0</v>
      </c>
    </row>
    <row r="271" spans="1:8" x14ac:dyDescent="0.45">
      <c r="A271" s="25">
        <f>'2_Cleaned_Data'!M270</f>
        <v>761122.42</v>
      </c>
      <c r="B271" s="25">
        <f>'2_Cleaned_Data'!E270</f>
        <v>70284.06</v>
      </c>
      <c r="C271" s="26">
        <f>'2_Cleaned_Data'!F270</f>
        <v>9109</v>
      </c>
      <c r="D271" s="26">
        <f>'2_Cleaned_Data'!G270</f>
        <v>4.0000000000000001E-3</v>
      </c>
      <c r="E271" s="26">
        <f>'2_Cleaned_Data'!I270</f>
        <v>87</v>
      </c>
      <c r="F271" s="26">
        <f>IF('2_Cleaned_Data'!D270="Airport",1,0)</f>
        <v>0</v>
      </c>
      <c r="G271" s="26">
        <f>IF('2_Cleaned_Data'!D270="High Street",1,0)</f>
        <v>0</v>
      </c>
      <c r="H271" s="26">
        <f>IF('2_Cleaned_Data'!D270="Mall",1,0)</f>
        <v>0</v>
      </c>
    </row>
    <row r="272" spans="1:8" x14ac:dyDescent="0.45">
      <c r="A272" s="25">
        <f>'2_Cleaned_Data'!M271</f>
        <v>524899.56999999995</v>
      </c>
      <c r="B272" s="25">
        <f>'2_Cleaned_Data'!E271</f>
        <v>45940.39</v>
      </c>
      <c r="C272" s="26">
        <f>'2_Cleaned_Data'!F271</f>
        <v>4022</v>
      </c>
      <c r="D272" s="26">
        <f>'2_Cleaned_Data'!G271</f>
        <v>6.9000000000000006E-2</v>
      </c>
      <c r="E272" s="26">
        <f>'2_Cleaned_Data'!I271</f>
        <v>83</v>
      </c>
      <c r="F272" s="26">
        <f>IF('2_Cleaned_Data'!D271="Airport",1,0)</f>
        <v>0</v>
      </c>
      <c r="G272" s="26">
        <f>IF('2_Cleaned_Data'!D271="High Street",1,0)</f>
        <v>1</v>
      </c>
      <c r="H272" s="26">
        <f>IF('2_Cleaned_Data'!D271="Mall",1,0)</f>
        <v>0</v>
      </c>
    </row>
    <row r="273" spans="1:8" x14ac:dyDescent="0.45">
      <c r="A273" s="25">
        <f>'2_Cleaned_Data'!M272</f>
        <v>555557.77</v>
      </c>
      <c r="B273" s="25">
        <f>'2_Cleaned_Data'!E272</f>
        <v>34771.26</v>
      </c>
      <c r="C273" s="26">
        <f>'2_Cleaned_Data'!F272</f>
        <v>4355</v>
      </c>
      <c r="D273" s="26">
        <f>'2_Cleaned_Data'!G272</f>
        <v>5.0999999999999997E-2</v>
      </c>
      <c r="E273" s="26">
        <f>'2_Cleaned_Data'!I272</f>
        <v>87.9</v>
      </c>
      <c r="F273" s="26">
        <f>IF('2_Cleaned_Data'!D272="Airport",1,0)</f>
        <v>0</v>
      </c>
      <c r="G273" s="26">
        <f>IF('2_Cleaned_Data'!D272="High Street",1,0)</f>
        <v>1</v>
      </c>
      <c r="H273" s="26">
        <f>IF('2_Cleaned_Data'!D272="Mall",1,0)</f>
        <v>0</v>
      </c>
    </row>
    <row r="274" spans="1:8" x14ac:dyDescent="0.45">
      <c r="A274" s="25">
        <f>'2_Cleaned_Data'!M273</f>
        <v>714083.68</v>
      </c>
      <c r="B274" s="25">
        <f>'2_Cleaned_Data'!E273</f>
        <v>66104.19</v>
      </c>
      <c r="C274" s="26">
        <f>'2_Cleaned_Data'!F273</f>
        <v>5745</v>
      </c>
      <c r="D274" s="26">
        <f>'2_Cleaned_Data'!G273</f>
        <v>7.0000000000000007E-2</v>
      </c>
      <c r="E274" s="26">
        <f>'2_Cleaned_Data'!I273</f>
        <v>95.8</v>
      </c>
      <c r="F274" s="26">
        <f>IF('2_Cleaned_Data'!D273="Airport",1,0)</f>
        <v>0</v>
      </c>
      <c r="G274" s="26">
        <f>IF('2_Cleaned_Data'!D273="High Street",1,0)</f>
        <v>1</v>
      </c>
      <c r="H274" s="26">
        <f>IF('2_Cleaned_Data'!D273="Mall",1,0)</f>
        <v>0</v>
      </c>
    </row>
    <row r="275" spans="1:8" x14ac:dyDescent="0.45">
      <c r="A275" s="25">
        <f>'2_Cleaned_Data'!M274</f>
        <v>497439.82</v>
      </c>
      <c r="B275" s="25">
        <f>'2_Cleaned_Data'!E274</f>
        <v>18599.21</v>
      </c>
      <c r="C275" s="26">
        <f>'2_Cleaned_Data'!F274</f>
        <v>3027</v>
      </c>
      <c r="D275" s="26">
        <f>'2_Cleaned_Data'!G274</f>
        <v>0.122</v>
      </c>
      <c r="E275" s="26">
        <f>'2_Cleaned_Data'!I274</f>
        <v>80.900000000000006</v>
      </c>
      <c r="F275" s="26">
        <f>IF('2_Cleaned_Data'!D274="Airport",1,0)</f>
        <v>0</v>
      </c>
      <c r="G275" s="26">
        <f>IF('2_Cleaned_Data'!D274="High Street",1,0)</f>
        <v>1</v>
      </c>
      <c r="H275" s="26">
        <f>IF('2_Cleaned_Data'!D274="Mall",1,0)</f>
        <v>0</v>
      </c>
    </row>
    <row r="276" spans="1:8" x14ac:dyDescent="0.45">
      <c r="A276" s="25">
        <f>'2_Cleaned_Data'!M275</f>
        <v>636775.66</v>
      </c>
      <c r="B276" s="25">
        <f>'2_Cleaned_Data'!E275</f>
        <v>60183.06</v>
      </c>
      <c r="C276" s="26">
        <f>'2_Cleaned_Data'!F275</f>
        <v>5562</v>
      </c>
      <c r="D276" s="26">
        <f>'2_Cleaned_Data'!G275</f>
        <v>8.9999999999999993E-3</v>
      </c>
      <c r="E276" s="26">
        <f>'2_Cleaned_Data'!I275</f>
        <v>86.3</v>
      </c>
      <c r="F276" s="26">
        <f>IF('2_Cleaned_Data'!D275="Airport",1,0)</f>
        <v>0</v>
      </c>
      <c r="G276" s="26">
        <f>IF('2_Cleaned_Data'!D275="High Street",1,0)</f>
        <v>0</v>
      </c>
      <c r="H276" s="26">
        <f>IF('2_Cleaned_Data'!D275="Mall",1,0)</f>
        <v>0</v>
      </c>
    </row>
    <row r="277" spans="1:8" x14ac:dyDescent="0.45">
      <c r="A277" s="25">
        <f>'2_Cleaned_Data'!M276</f>
        <v>633009.53</v>
      </c>
      <c r="B277" s="25">
        <f>'2_Cleaned_Data'!E276</f>
        <v>74539.14</v>
      </c>
      <c r="C277" s="26">
        <f>'2_Cleaned_Data'!F276</f>
        <v>4487</v>
      </c>
      <c r="D277" s="26">
        <f>'2_Cleaned_Data'!G276</f>
        <v>0.14000000000000001</v>
      </c>
      <c r="E277" s="26">
        <f>'2_Cleaned_Data'!I276</f>
        <v>90.4</v>
      </c>
      <c r="F277" s="26">
        <f>IF('2_Cleaned_Data'!D276="Airport",1,0)</f>
        <v>0</v>
      </c>
      <c r="G277" s="26">
        <f>IF('2_Cleaned_Data'!D276="High Street",1,0)</f>
        <v>0</v>
      </c>
      <c r="H277" s="26">
        <f>IF('2_Cleaned_Data'!D276="Mall",1,0)</f>
        <v>0</v>
      </c>
    </row>
    <row r="278" spans="1:8" x14ac:dyDescent="0.45">
      <c r="A278" s="25">
        <f>'2_Cleaned_Data'!M277</f>
        <v>609949</v>
      </c>
      <c r="B278" s="25">
        <f>'2_Cleaned_Data'!E277</f>
        <v>55371.97</v>
      </c>
      <c r="C278" s="26">
        <f>'2_Cleaned_Data'!F277</f>
        <v>4162</v>
      </c>
      <c r="D278" s="26">
        <f>'2_Cleaned_Data'!G277</f>
        <v>0.183</v>
      </c>
      <c r="E278" s="26">
        <f>'2_Cleaned_Data'!I277</f>
        <v>92</v>
      </c>
      <c r="F278" s="26">
        <f>IF('2_Cleaned_Data'!D277="Airport",1,0)</f>
        <v>0</v>
      </c>
      <c r="G278" s="26">
        <f>IF('2_Cleaned_Data'!D277="High Street",1,0)</f>
        <v>0</v>
      </c>
      <c r="H278" s="26">
        <f>IF('2_Cleaned_Data'!D277="Mall",1,0)</f>
        <v>0</v>
      </c>
    </row>
    <row r="279" spans="1:8" x14ac:dyDescent="0.45">
      <c r="A279" s="25">
        <f>'2_Cleaned_Data'!M278</f>
        <v>548103.69999999995</v>
      </c>
      <c r="B279" s="25">
        <f>'2_Cleaned_Data'!E278</f>
        <v>40928.69</v>
      </c>
      <c r="C279" s="26">
        <f>'2_Cleaned_Data'!F278</f>
        <v>4094</v>
      </c>
      <c r="D279" s="26">
        <f>'2_Cleaned_Data'!G278</f>
        <v>0.17399999999999999</v>
      </c>
      <c r="E279" s="26">
        <f>'2_Cleaned_Data'!I278</f>
        <v>82.4</v>
      </c>
      <c r="F279" s="26">
        <f>IF('2_Cleaned_Data'!D278="Airport",1,0)</f>
        <v>0</v>
      </c>
      <c r="G279" s="26">
        <f>IF('2_Cleaned_Data'!D278="High Street",1,0)</f>
        <v>0</v>
      </c>
      <c r="H279" s="26">
        <f>IF('2_Cleaned_Data'!D278="Mall",1,0)</f>
        <v>0</v>
      </c>
    </row>
    <row r="280" spans="1:8" x14ac:dyDescent="0.45">
      <c r="A280" s="25">
        <f>'2_Cleaned_Data'!M279</f>
        <v>729424.42</v>
      </c>
      <c r="B280" s="25">
        <f>'2_Cleaned_Data'!E279</f>
        <v>70012.41</v>
      </c>
      <c r="C280" s="26">
        <f>'2_Cleaned_Data'!F279</f>
        <v>8484</v>
      </c>
      <c r="D280" s="26">
        <f>'2_Cleaned_Data'!G279</f>
        <v>0.27300000000000002</v>
      </c>
      <c r="E280" s="26">
        <f>'2_Cleaned_Data'!I279</f>
        <v>72.900000000000006</v>
      </c>
      <c r="F280" s="26">
        <f>IF('2_Cleaned_Data'!D279="Airport",1,0)</f>
        <v>0</v>
      </c>
      <c r="G280" s="26">
        <f>IF('2_Cleaned_Data'!D279="High Street",1,0)</f>
        <v>0</v>
      </c>
      <c r="H280" s="26">
        <f>IF('2_Cleaned_Data'!D279="Mall",1,0)</f>
        <v>0</v>
      </c>
    </row>
    <row r="281" spans="1:8" x14ac:dyDescent="0.45">
      <c r="A281" s="25">
        <f>'2_Cleaned_Data'!M280</f>
        <v>696261.49</v>
      </c>
      <c r="B281" s="25">
        <f>'2_Cleaned_Data'!E280</f>
        <v>68909.259999999995</v>
      </c>
      <c r="C281" s="26">
        <f>'2_Cleaned_Data'!F280</f>
        <v>7794</v>
      </c>
      <c r="D281" s="26">
        <f>'2_Cleaned_Data'!G280</f>
        <v>0.28399999999999997</v>
      </c>
      <c r="E281" s="26">
        <f>'2_Cleaned_Data'!I280</f>
        <v>89</v>
      </c>
      <c r="F281" s="26">
        <f>IF('2_Cleaned_Data'!D280="Airport",1,0)</f>
        <v>0</v>
      </c>
      <c r="G281" s="26">
        <f>IF('2_Cleaned_Data'!D280="High Street",1,0)</f>
        <v>0</v>
      </c>
      <c r="H281" s="26">
        <f>IF('2_Cleaned_Data'!D280="Mall",1,0)</f>
        <v>0</v>
      </c>
    </row>
    <row r="282" spans="1:8" x14ac:dyDescent="0.45">
      <c r="A282" s="25">
        <f>'2_Cleaned_Data'!M281</f>
        <v>813316.71</v>
      </c>
      <c r="B282" s="25">
        <f>'2_Cleaned_Data'!E281</f>
        <v>56737.3</v>
      </c>
      <c r="C282" s="26">
        <f>'2_Cleaned_Data'!F281</f>
        <v>8300</v>
      </c>
      <c r="D282" s="26">
        <f>'2_Cleaned_Data'!G281</f>
        <v>3.2000000000000001E-2</v>
      </c>
      <c r="E282" s="26">
        <f>'2_Cleaned_Data'!I281</f>
        <v>83.2</v>
      </c>
      <c r="F282" s="26">
        <f>IF('2_Cleaned_Data'!D281="Airport",1,0)</f>
        <v>0</v>
      </c>
      <c r="G282" s="26">
        <f>IF('2_Cleaned_Data'!D281="High Street",1,0)</f>
        <v>0</v>
      </c>
      <c r="H282" s="26">
        <f>IF('2_Cleaned_Data'!D281="Mall",1,0)</f>
        <v>0</v>
      </c>
    </row>
    <row r="283" spans="1:8" x14ac:dyDescent="0.45">
      <c r="A283" s="25">
        <f>'2_Cleaned_Data'!M282</f>
        <v>702068.92</v>
      </c>
      <c r="B283" s="25">
        <f>'2_Cleaned_Data'!E282</f>
        <v>54080.91</v>
      </c>
      <c r="C283" s="26">
        <f>'2_Cleaned_Data'!F282</f>
        <v>7083</v>
      </c>
      <c r="D283" s="26">
        <f>'2_Cleaned_Data'!G282</f>
        <v>0</v>
      </c>
      <c r="E283" s="26">
        <f>'2_Cleaned_Data'!I282</f>
        <v>97</v>
      </c>
      <c r="F283" s="26">
        <f>IF('2_Cleaned_Data'!D282="Airport",1,0)</f>
        <v>0</v>
      </c>
      <c r="G283" s="26">
        <f>IF('2_Cleaned_Data'!D282="High Street",1,0)</f>
        <v>0</v>
      </c>
      <c r="H283" s="26">
        <f>IF('2_Cleaned_Data'!D282="Mall",1,0)</f>
        <v>0</v>
      </c>
    </row>
    <row r="284" spans="1:8" x14ac:dyDescent="0.45">
      <c r="A284" s="25">
        <f>'2_Cleaned_Data'!M283</f>
        <v>546223.69999999995</v>
      </c>
      <c r="B284" s="25">
        <f>'2_Cleaned_Data'!E283</f>
        <v>51996.32</v>
      </c>
      <c r="C284" s="26">
        <f>'2_Cleaned_Data'!F283</f>
        <v>3834</v>
      </c>
      <c r="D284" s="26">
        <f>'2_Cleaned_Data'!G283</f>
        <v>9.6000000000000002E-2</v>
      </c>
      <c r="E284" s="26">
        <f>'2_Cleaned_Data'!I283</f>
        <v>86.7</v>
      </c>
      <c r="F284" s="26">
        <f>IF('2_Cleaned_Data'!D283="Airport",1,0)</f>
        <v>0</v>
      </c>
      <c r="G284" s="26">
        <f>IF('2_Cleaned_Data'!D283="High Street",1,0)</f>
        <v>1</v>
      </c>
      <c r="H284" s="26">
        <f>IF('2_Cleaned_Data'!D283="Mall",1,0)</f>
        <v>0</v>
      </c>
    </row>
    <row r="285" spans="1:8" x14ac:dyDescent="0.45">
      <c r="A285" s="25">
        <f>'2_Cleaned_Data'!M284</f>
        <v>533121.26</v>
      </c>
      <c r="B285" s="25">
        <f>'2_Cleaned_Data'!E284</f>
        <v>40102.879999999997</v>
      </c>
      <c r="C285" s="26">
        <f>'2_Cleaned_Data'!F284</f>
        <v>2358</v>
      </c>
      <c r="D285" s="26">
        <f>'2_Cleaned_Data'!G284</f>
        <v>0.11899999999999999</v>
      </c>
      <c r="E285" s="26">
        <f>'2_Cleaned_Data'!I284</f>
        <v>88.7</v>
      </c>
      <c r="F285" s="26">
        <f>IF('2_Cleaned_Data'!D284="Airport",1,0)</f>
        <v>0</v>
      </c>
      <c r="G285" s="26">
        <f>IF('2_Cleaned_Data'!D284="High Street",1,0)</f>
        <v>1</v>
      </c>
      <c r="H285" s="26">
        <f>IF('2_Cleaned_Data'!D284="Mall",1,0)</f>
        <v>0</v>
      </c>
    </row>
    <row r="286" spans="1:8" x14ac:dyDescent="0.45">
      <c r="A286" s="25">
        <f>'2_Cleaned_Data'!M285</f>
        <v>498970.32</v>
      </c>
      <c r="B286" s="25">
        <f>'2_Cleaned_Data'!E285</f>
        <v>59825.51</v>
      </c>
      <c r="C286" s="26">
        <f>'2_Cleaned_Data'!F285</f>
        <v>1231</v>
      </c>
      <c r="D286" s="26">
        <f>'2_Cleaned_Data'!G285</f>
        <v>0.214</v>
      </c>
      <c r="E286" s="26">
        <f>'2_Cleaned_Data'!I285</f>
        <v>84.8</v>
      </c>
      <c r="F286" s="26">
        <f>IF('2_Cleaned_Data'!D285="Airport",1,0)</f>
        <v>0</v>
      </c>
      <c r="G286" s="26">
        <f>IF('2_Cleaned_Data'!D285="High Street",1,0)</f>
        <v>1</v>
      </c>
      <c r="H286" s="26">
        <f>IF('2_Cleaned_Data'!D285="Mall",1,0)</f>
        <v>0</v>
      </c>
    </row>
    <row r="287" spans="1:8" x14ac:dyDescent="0.45">
      <c r="A287" s="25">
        <f>'2_Cleaned_Data'!M286</f>
        <v>487738.26</v>
      </c>
      <c r="B287" s="25">
        <f>'2_Cleaned_Data'!E286</f>
        <v>27398.28</v>
      </c>
      <c r="C287" s="26">
        <f>'2_Cleaned_Data'!F286</f>
        <v>1723</v>
      </c>
      <c r="D287" s="26">
        <f>'2_Cleaned_Data'!G286</f>
        <v>0.17100000000000001</v>
      </c>
      <c r="E287" s="26">
        <f>'2_Cleaned_Data'!I286</f>
        <v>81</v>
      </c>
      <c r="F287" s="26">
        <f>IF('2_Cleaned_Data'!D286="Airport",1,0)</f>
        <v>0</v>
      </c>
      <c r="G287" s="26">
        <f>IF('2_Cleaned_Data'!D286="High Street",1,0)</f>
        <v>1</v>
      </c>
      <c r="H287" s="26">
        <f>IF('2_Cleaned_Data'!D286="Mall",1,0)</f>
        <v>0</v>
      </c>
    </row>
    <row r="288" spans="1:8" x14ac:dyDescent="0.45">
      <c r="A288" s="25">
        <f>'2_Cleaned_Data'!M287</f>
        <v>668459.37</v>
      </c>
      <c r="B288" s="25">
        <f>'2_Cleaned_Data'!E287</f>
        <v>55599.56</v>
      </c>
      <c r="C288" s="26">
        <f>'2_Cleaned_Data'!F287</f>
        <v>5896</v>
      </c>
      <c r="D288" s="26">
        <f>'2_Cleaned_Data'!G287</f>
        <v>3.5999999999999997E-2</v>
      </c>
      <c r="E288" s="26">
        <f>'2_Cleaned_Data'!I287</f>
        <v>93.1</v>
      </c>
      <c r="F288" s="26">
        <f>IF('2_Cleaned_Data'!D287="Airport",1,0)</f>
        <v>0</v>
      </c>
      <c r="G288" s="26">
        <f>IF('2_Cleaned_Data'!D287="High Street",1,0)</f>
        <v>1</v>
      </c>
      <c r="H288" s="26">
        <f>IF('2_Cleaned_Data'!D287="Mall",1,0)</f>
        <v>0</v>
      </c>
    </row>
    <row r="289" spans="1:8" x14ac:dyDescent="0.45">
      <c r="A289" s="25">
        <f>'2_Cleaned_Data'!M288</f>
        <v>763162.45</v>
      </c>
      <c r="B289" s="25">
        <f>'2_Cleaned_Data'!E288</f>
        <v>55477.61</v>
      </c>
      <c r="C289" s="26">
        <f>'2_Cleaned_Data'!F288</f>
        <v>5903</v>
      </c>
      <c r="D289" s="26">
        <f>'2_Cleaned_Data'!G288</f>
        <v>0.10199999999999999</v>
      </c>
      <c r="E289" s="26">
        <f>'2_Cleaned_Data'!I288</f>
        <v>96.2</v>
      </c>
      <c r="F289" s="26">
        <f>IF('2_Cleaned_Data'!D288="Airport",1,0)</f>
        <v>0</v>
      </c>
      <c r="G289" s="26">
        <f>IF('2_Cleaned_Data'!D288="High Street",1,0)</f>
        <v>1</v>
      </c>
      <c r="H289" s="26">
        <f>IF('2_Cleaned_Data'!D288="Mall",1,0)</f>
        <v>0</v>
      </c>
    </row>
    <row r="290" spans="1:8" x14ac:dyDescent="0.45">
      <c r="A290" s="25">
        <f>'2_Cleaned_Data'!M289</f>
        <v>599017.32999999996</v>
      </c>
      <c r="B290" s="25">
        <f>'2_Cleaned_Data'!E289</f>
        <v>46174.7</v>
      </c>
      <c r="C290" s="26">
        <f>'2_Cleaned_Data'!F289</f>
        <v>4898</v>
      </c>
      <c r="D290" s="26">
        <f>'2_Cleaned_Data'!G289</f>
        <v>0.114</v>
      </c>
      <c r="E290" s="26">
        <f>'2_Cleaned_Data'!I289</f>
        <v>91.7</v>
      </c>
      <c r="F290" s="26">
        <f>IF('2_Cleaned_Data'!D289="Airport",1,0)</f>
        <v>0</v>
      </c>
      <c r="G290" s="26">
        <f>IF('2_Cleaned_Data'!D289="High Street",1,0)</f>
        <v>1</v>
      </c>
      <c r="H290" s="26">
        <f>IF('2_Cleaned_Data'!D289="Mall",1,0)</f>
        <v>0</v>
      </c>
    </row>
    <row r="291" spans="1:8" x14ac:dyDescent="0.45">
      <c r="A291" s="25">
        <f>'2_Cleaned_Data'!M290</f>
        <v>401582.58</v>
      </c>
      <c r="B291" s="25">
        <f>'2_Cleaned_Data'!E290</f>
        <v>24362.98</v>
      </c>
      <c r="C291" s="26">
        <f>'2_Cleaned_Data'!F290</f>
        <v>1462</v>
      </c>
      <c r="D291" s="26">
        <f>'2_Cleaned_Data'!G290</f>
        <v>0.11700000000000001</v>
      </c>
      <c r="E291" s="26">
        <f>'2_Cleaned_Data'!I290</f>
        <v>89.3</v>
      </c>
      <c r="F291" s="26">
        <f>IF('2_Cleaned_Data'!D290="Airport",1,0)</f>
        <v>0</v>
      </c>
      <c r="G291" s="26">
        <f>IF('2_Cleaned_Data'!D290="High Street",1,0)</f>
        <v>1</v>
      </c>
      <c r="H291" s="26">
        <f>IF('2_Cleaned_Data'!D290="Mall",1,0)</f>
        <v>0</v>
      </c>
    </row>
    <row r="292" spans="1:8" x14ac:dyDescent="0.45">
      <c r="A292" s="25">
        <f>'2_Cleaned_Data'!M291</f>
        <v>703812.99</v>
      </c>
      <c r="B292" s="25">
        <f>'2_Cleaned_Data'!E291</f>
        <v>40647.67</v>
      </c>
      <c r="C292" s="26">
        <f>'2_Cleaned_Data'!F291</f>
        <v>8252</v>
      </c>
      <c r="D292" s="26">
        <f>'2_Cleaned_Data'!G291</f>
        <v>0.14099999999999999</v>
      </c>
      <c r="E292" s="26">
        <f>'2_Cleaned_Data'!I291</f>
        <v>88.2</v>
      </c>
      <c r="F292" s="26">
        <f>IF('2_Cleaned_Data'!D291="Airport",1,0)</f>
        <v>0</v>
      </c>
      <c r="G292" s="26">
        <f>IF('2_Cleaned_Data'!D291="High Street",1,0)</f>
        <v>0</v>
      </c>
      <c r="H292" s="26">
        <f>IF('2_Cleaned_Data'!D291="Mall",1,0)</f>
        <v>1</v>
      </c>
    </row>
    <row r="293" spans="1:8" x14ac:dyDescent="0.45">
      <c r="A293" s="25">
        <f>'2_Cleaned_Data'!M292</f>
        <v>724346.73</v>
      </c>
      <c r="B293" s="25">
        <f>'2_Cleaned_Data'!E292</f>
        <v>63986.98</v>
      </c>
      <c r="C293" s="26">
        <f>'2_Cleaned_Data'!F292</f>
        <v>7989</v>
      </c>
      <c r="D293" s="26">
        <f>'2_Cleaned_Data'!G292</f>
        <v>7.3999999999999996E-2</v>
      </c>
      <c r="E293" s="26">
        <f>'2_Cleaned_Data'!I292</f>
        <v>83.3</v>
      </c>
      <c r="F293" s="26">
        <f>IF('2_Cleaned_Data'!D292="Airport",1,0)</f>
        <v>0</v>
      </c>
      <c r="G293" s="26">
        <f>IF('2_Cleaned_Data'!D292="High Street",1,0)</f>
        <v>0</v>
      </c>
      <c r="H293" s="26">
        <f>IF('2_Cleaned_Data'!D292="Mall",1,0)</f>
        <v>1</v>
      </c>
    </row>
    <row r="294" spans="1:8" x14ac:dyDescent="0.45">
      <c r="A294" s="25">
        <f>'2_Cleaned_Data'!M293</f>
        <v>730890.01</v>
      </c>
      <c r="B294" s="25">
        <f>'2_Cleaned_Data'!E293</f>
        <v>52843.75</v>
      </c>
      <c r="C294" s="26">
        <f>'2_Cleaned_Data'!F293</f>
        <v>8268</v>
      </c>
      <c r="D294" s="26">
        <f>'2_Cleaned_Data'!G293</f>
        <v>0.13800000000000001</v>
      </c>
      <c r="E294" s="26">
        <f>'2_Cleaned_Data'!I293</f>
        <v>87.3</v>
      </c>
      <c r="F294" s="26">
        <f>IF('2_Cleaned_Data'!D293="Airport",1,0)</f>
        <v>0</v>
      </c>
      <c r="G294" s="26">
        <f>IF('2_Cleaned_Data'!D293="High Street",1,0)</f>
        <v>0</v>
      </c>
      <c r="H294" s="26">
        <f>IF('2_Cleaned_Data'!D293="Mall",1,0)</f>
        <v>1</v>
      </c>
    </row>
    <row r="295" spans="1:8" x14ac:dyDescent="0.45">
      <c r="A295" s="25">
        <f>'2_Cleaned_Data'!M294</f>
        <v>780580.95</v>
      </c>
      <c r="B295" s="25">
        <f>'2_Cleaned_Data'!E294</f>
        <v>31997.25</v>
      </c>
      <c r="C295" s="26">
        <f>'2_Cleaned_Data'!F294</f>
        <v>8183</v>
      </c>
      <c r="D295" s="26">
        <f>'2_Cleaned_Data'!G294</f>
        <v>0.19800000000000001</v>
      </c>
      <c r="E295" s="26">
        <f>'2_Cleaned_Data'!I294</f>
        <v>93</v>
      </c>
      <c r="F295" s="26">
        <f>IF('2_Cleaned_Data'!D294="Airport",1,0)</f>
        <v>0</v>
      </c>
      <c r="G295" s="26">
        <f>IF('2_Cleaned_Data'!D294="High Street",1,0)</f>
        <v>0</v>
      </c>
      <c r="H295" s="26">
        <f>IF('2_Cleaned_Data'!D294="Mall",1,0)</f>
        <v>1</v>
      </c>
    </row>
    <row r="296" spans="1:8" x14ac:dyDescent="0.45">
      <c r="A296" s="25">
        <f>'2_Cleaned_Data'!M295</f>
        <v>727957.48</v>
      </c>
      <c r="B296" s="25">
        <f>'2_Cleaned_Data'!E295</f>
        <v>54948.02</v>
      </c>
      <c r="C296" s="26">
        <f>'2_Cleaned_Data'!F295</f>
        <v>6534</v>
      </c>
      <c r="D296" s="26">
        <f>'2_Cleaned_Data'!G295</f>
        <v>0.183</v>
      </c>
      <c r="E296" s="26">
        <f>'2_Cleaned_Data'!I295</f>
        <v>94.5</v>
      </c>
      <c r="F296" s="26">
        <f>IF('2_Cleaned_Data'!D295="Airport",1,0)</f>
        <v>0</v>
      </c>
      <c r="G296" s="26">
        <f>IF('2_Cleaned_Data'!D295="High Street",1,0)</f>
        <v>0</v>
      </c>
      <c r="H296" s="26">
        <f>IF('2_Cleaned_Data'!D295="Mall",1,0)</f>
        <v>0</v>
      </c>
    </row>
    <row r="297" spans="1:8" x14ac:dyDescent="0.45">
      <c r="A297" s="25">
        <f>'2_Cleaned_Data'!M296</f>
        <v>538376</v>
      </c>
      <c r="B297" s="25">
        <f>'2_Cleaned_Data'!E296</f>
        <v>46146.239999999998</v>
      </c>
      <c r="C297" s="26">
        <f>'2_Cleaned_Data'!F296</f>
        <v>5804</v>
      </c>
      <c r="D297" s="26">
        <f>'2_Cleaned_Data'!G296</f>
        <v>4.7E-2</v>
      </c>
      <c r="E297" s="26">
        <f>'2_Cleaned_Data'!I296</f>
        <v>86.9</v>
      </c>
      <c r="F297" s="26">
        <f>IF('2_Cleaned_Data'!D296="Airport",1,0)</f>
        <v>0</v>
      </c>
      <c r="G297" s="26">
        <f>IF('2_Cleaned_Data'!D296="High Street",1,0)</f>
        <v>0</v>
      </c>
      <c r="H297" s="26">
        <f>IF('2_Cleaned_Data'!D296="Mall",1,0)</f>
        <v>0</v>
      </c>
    </row>
    <row r="298" spans="1:8" x14ac:dyDescent="0.45">
      <c r="A298" s="25">
        <f>'2_Cleaned_Data'!M297</f>
        <v>665342.49</v>
      </c>
      <c r="B298" s="25">
        <f>'2_Cleaned_Data'!E297</f>
        <v>22387.26</v>
      </c>
      <c r="C298" s="26">
        <f>'2_Cleaned_Data'!F297</f>
        <v>6301</v>
      </c>
      <c r="D298" s="26">
        <f>'2_Cleaned_Data'!G297</f>
        <v>0.14599999999999999</v>
      </c>
      <c r="E298" s="26">
        <f>'2_Cleaned_Data'!I297</f>
        <v>85.9</v>
      </c>
      <c r="F298" s="26">
        <f>IF('2_Cleaned_Data'!D297="Airport",1,0)</f>
        <v>0</v>
      </c>
      <c r="G298" s="26">
        <f>IF('2_Cleaned_Data'!D297="High Street",1,0)</f>
        <v>0</v>
      </c>
      <c r="H298" s="26">
        <f>IF('2_Cleaned_Data'!D297="Mall",1,0)</f>
        <v>0</v>
      </c>
    </row>
    <row r="299" spans="1:8" x14ac:dyDescent="0.45">
      <c r="A299" s="25">
        <f>'2_Cleaned_Data'!M298</f>
        <v>651164.18000000005</v>
      </c>
      <c r="B299" s="25">
        <f>'2_Cleaned_Data'!E298</f>
        <v>60684.05</v>
      </c>
      <c r="C299" s="26">
        <f>'2_Cleaned_Data'!F298</f>
        <v>6399</v>
      </c>
      <c r="D299" s="26">
        <f>'2_Cleaned_Data'!G298</f>
        <v>7.4999999999999997E-2</v>
      </c>
      <c r="E299" s="26">
        <f>'2_Cleaned_Data'!I298</f>
        <v>99</v>
      </c>
      <c r="F299" s="26">
        <f>IF('2_Cleaned_Data'!D298="Airport",1,0)</f>
        <v>0</v>
      </c>
      <c r="G299" s="26">
        <f>IF('2_Cleaned_Data'!D298="High Street",1,0)</f>
        <v>0</v>
      </c>
      <c r="H299" s="26">
        <f>IF('2_Cleaned_Data'!D298="Mall",1,0)</f>
        <v>0</v>
      </c>
    </row>
    <row r="300" spans="1:8" x14ac:dyDescent="0.45">
      <c r="A300" s="25">
        <f>'2_Cleaned_Data'!M299</f>
        <v>628538.30000000005</v>
      </c>
      <c r="B300" s="25">
        <f>'2_Cleaned_Data'!E299</f>
        <v>48465.599999999999</v>
      </c>
      <c r="C300" s="26">
        <f>'2_Cleaned_Data'!F299</f>
        <v>5759</v>
      </c>
      <c r="D300" s="26">
        <f>'2_Cleaned_Data'!G299</f>
        <v>0.154</v>
      </c>
      <c r="E300" s="26">
        <f>'2_Cleaned_Data'!I299</f>
        <v>87.5</v>
      </c>
      <c r="F300" s="26">
        <f>IF('2_Cleaned_Data'!D299="Airport",1,0)</f>
        <v>0</v>
      </c>
      <c r="G300" s="26">
        <f>IF('2_Cleaned_Data'!D299="High Street",1,0)</f>
        <v>1</v>
      </c>
      <c r="H300" s="26">
        <f>IF('2_Cleaned_Data'!D299="Mall",1,0)</f>
        <v>0</v>
      </c>
    </row>
    <row r="301" spans="1:8" x14ac:dyDescent="0.45">
      <c r="A301" s="25">
        <f>'2_Cleaned_Data'!M300</f>
        <v>536524.84</v>
      </c>
      <c r="B301" s="25">
        <f>'2_Cleaned_Data'!E300</f>
        <v>23702.38</v>
      </c>
      <c r="C301" s="26">
        <f>'2_Cleaned_Data'!F300</f>
        <v>5285</v>
      </c>
      <c r="D301" s="26">
        <f>'2_Cleaned_Data'!G300</f>
        <v>0.16700000000000001</v>
      </c>
      <c r="E301" s="26">
        <f>'2_Cleaned_Data'!I300</f>
        <v>79.7</v>
      </c>
      <c r="F301" s="26">
        <f>IF('2_Cleaned_Data'!D300="Airport",1,0)</f>
        <v>0</v>
      </c>
      <c r="G301" s="26">
        <f>IF('2_Cleaned_Data'!D300="High Street",1,0)</f>
        <v>1</v>
      </c>
      <c r="H301" s="26">
        <f>IF('2_Cleaned_Data'!D300="Mall",1,0)</f>
        <v>0</v>
      </c>
    </row>
    <row r="302" spans="1:8" x14ac:dyDescent="0.45">
      <c r="A302" s="25">
        <f>'2_Cleaned_Data'!M301</f>
        <v>621677.30000000005</v>
      </c>
      <c r="B302" s="25">
        <f>'2_Cleaned_Data'!E301</f>
        <v>54322.94</v>
      </c>
      <c r="C302" s="26">
        <f>'2_Cleaned_Data'!F301</f>
        <v>5434</v>
      </c>
      <c r="D302" s="26">
        <f>'2_Cleaned_Data'!G301</f>
        <v>0.2</v>
      </c>
      <c r="E302" s="26">
        <f>'2_Cleaned_Data'!I301</f>
        <v>85.7</v>
      </c>
      <c r="F302" s="26">
        <f>IF('2_Cleaned_Data'!D301="Airport",1,0)</f>
        <v>0</v>
      </c>
      <c r="G302" s="26">
        <f>IF('2_Cleaned_Data'!D301="High Street",1,0)</f>
        <v>1</v>
      </c>
      <c r="H302" s="26">
        <f>IF('2_Cleaned_Data'!D301="Mall",1,0)</f>
        <v>0</v>
      </c>
    </row>
    <row r="303" spans="1:8" x14ac:dyDescent="0.45">
      <c r="A303" s="25">
        <f>'2_Cleaned_Data'!M302</f>
        <v>702052.47</v>
      </c>
      <c r="B303" s="25">
        <f>'2_Cleaned_Data'!E302</f>
        <v>78967.520000000004</v>
      </c>
      <c r="C303" s="26">
        <f>'2_Cleaned_Data'!F302</f>
        <v>6164</v>
      </c>
      <c r="D303" s="26">
        <f>'2_Cleaned_Data'!G302</f>
        <v>2.1000000000000001E-2</v>
      </c>
      <c r="E303" s="26">
        <f>'2_Cleaned_Data'!I302</f>
        <v>85.5</v>
      </c>
      <c r="F303" s="26">
        <f>IF('2_Cleaned_Data'!D302="Airport",1,0)</f>
        <v>0</v>
      </c>
      <c r="G303" s="26">
        <f>IF('2_Cleaned_Data'!D302="High Street",1,0)</f>
        <v>0</v>
      </c>
      <c r="H303" s="26">
        <f>IF('2_Cleaned_Data'!D302="Mall",1,0)</f>
        <v>0</v>
      </c>
    </row>
    <row r="304" spans="1:8" x14ac:dyDescent="0.45">
      <c r="A304" s="25">
        <f>'2_Cleaned_Data'!M303</f>
        <v>712375.77</v>
      </c>
      <c r="B304" s="25">
        <f>'2_Cleaned_Data'!E303</f>
        <v>62507.16</v>
      </c>
      <c r="C304" s="26">
        <f>'2_Cleaned_Data'!F303</f>
        <v>6000</v>
      </c>
      <c r="D304" s="26">
        <f>'2_Cleaned_Data'!G303</f>
        <v>9.0999999999999998E-2</v>
      </c>
      <c r="E304" s="26">
        <f>'2_Cleaned_Data'!I303</f>
        <v>98.2</v>
      </c>
      <c r="F304" s="26">
        <f>IF('2_Cleaned_Data'!D303="Airport",1,0)</f>
        <v>0</v>
      </c>
      <c r="G304" s="26">
        <f>IF('2_Cleaned_Data'!D303="High Street",1,0)</f>
        <v>0</v>
      </c>
      <c r="H304" s="26">
        <f>IF('2_Cleaned_Data'!D303="Mall",1,0)</f>
        <v>0</v>
      </c>
    </row>
    <row r="305" spans="1:14" x14ac:dyDescent="0.45">
      <c r="A305" s="25">
        <f>'2_Cleaned_Data'!M304</f>
        <v>844710.67</v>
      </c>
      <c r="B305" s="25">
        <f>'2_Cleaned_Data'!E304</f>
        <v>66456.28</v>
      </c>
      <c r="C305" s="26">
        <f>'2_Cleaned_Data'!F304</f>
        <v>9967</v>
      </c>
      <c r="D305" s="26">
        <f>'2_Cleaned_Data'!G304</f>
        <v>0.108</v>
      </c>
      <c r="E305" s="26">
        <f>'2_Cleaned_Data'!I304</f>
        <v>94.7</v>
      </c>
      <c r="F305" s="26">
        <f>IF('2_Cleaned_Data'!D304="Airport",1,0)</f>
        <v>0</v>
      </c>
      <c r="G305" s="26">
        <f>IF('2_Cleaned_Data'!D304="High Street",1,0)</f>
        <v>0</v>
      </c>
      <c r="H305" s="26">
        <f>IF('2_Cleaned_Data'!D304="Mall",1,0)</f>
        <v>0</v>
      </c>
    </row>
    <row r="306" spans="1:14" x14ac:dyDescent="0.45">
      <c r="A306" s="25">
        <f>'2_Cleaned_Data'!M305</f>
        <v>620264.19999999995</v>
      </c>
      <c r="B306" s="25">
        <f>'2_Cleaned_Data'!E305</f>
        <v>76614.320000000007</v>
      </c>
      <c r="C306" s="26">
        <f>'2_Cleaned_Data'!F305</f>
        <v>5639</v>
      </c>
      <c r="D306" s="26">
        <f>'2_Cleaned_Data'!G305</f>
        <v>0.17399999999999999</v>
      </c>
      <c r="E306" s="26">
        <f>'2_Cleaned_Data'!I305</f>
        <v>92.9</v>
      </c>
      <c r="F306" s="26">
        <f>IF('2_Cleaned_Data'!D305="Airport",1,0)</f>
        <v>0</v>
      </c>
      <c r="G306" s="26">
        <f>IF('2_Cleaned_Data'!D305="High Street",1,0)</f>
        <v>0</v>
      </c>
      <c r="H306" s="26">
        <f>IF('2_Cleaned_Data'!D305="Mall",1,0)</f>
        <v>0</v>
      </c>
    </row>
    <row r="307" spans="1:14" x14ac:dyDescent="0.45">
      <c r="A307" s="25">
        <f>'2_Cleaned_Data'!M306</f>
        <v>536845.42000000004</v>
      </c>
      <c r="B307" s="25">
        <f>'2_Cleaned_Data'!E306</f>
        <v>24088.06</v>
      </c>
      <c r="C307" s="26">
        <f>'2_Cleaned_Data'!F306</f>
        <v>3466</v>
      </c>
      <c r="D307" s="26">
        <f>'2_Cleaned_Data'!G306</f>
        <v>0</v>
      </c>
      <c r="E307" s="26">
        <f>'2_Cleaned_Data'!I306</f>
        <v>88</v>
      </c>
      <c r="F307" s="26">
        <f>IF('2_Cleaned_Data'!D306="Airport",1,0)</f>
        <v>0</v>
      </c>
      <c r="G307" s="26">
        <f>IF('2_Cleaned_Data'!D306="High Street",1,0)</f>
        <v>0</v>
      </c>
      <c r="H307" s="26">
        <f>IF('2_Cleaned_Data'!D306="Mall",1,0)</f>
        <v>0</v>
      </c>
    </row>
    <row r="308" spans="1:14" x14ac:dyDescent="0.45">
      <c r="A308" s="25">
        <f>'2_Cleaned_Data'!M307</f>
        <v>726776.22</v>
      </c>
      <c r="B308" s="25">
        <f>'2_Cleaned_Data'!E307</f>
        <v>81902.58</v>
      </c>
      <c r="C308" s="26">
        <f>'2_Cleaned_Data'!F307</f>
        <v>7775</v>
      </c>
      <c r="D308" s="26">
        <f>'2_Cleaned_Data'!G307</f>
        <v>0.215</v>
      </c>
      <c r="E308" s="26">
        <f>'2_Cleaned_Data'!I307</f>
        <v>85.2</v>
      </c>
      <c r="F308" s="26">
        <f>IF('2_Cleaned_Data'!D307="Airport",1,0)</f>
        <v>0</v>
      </c>
      <c r="G308" s="26">
        <f>IF('2_Cleaned_Data'!D307="High Street",1,0)</f>
        <v>0</v>
      </c>
      <c r="H308" s="26">
        <f>IF('2_Cleaned_Data'!D307="Mall",1,0)</f>
        <v>0</v>
      </c>
    </row>
    <row r="309" spans="1:14" x14ac:dyDescent="0.45">
      <c r="A309" s="25">
        <f>'2_Cleaned_Data'!M308</f>
        <v>559660.84</v>
      </c>
      <c r="B309" s="25">
        <f>'2_Cleaned_Data'!E308</f>
        <v>40553.11</v>
      </c>
      <c r="C309" s="26">
        <f>'2_Cleaned_Data'!F308</f>
        <v>5317</v>
      </c>
      <c r="D309" s="26">
        <f>'2_Cleaned_Data'!G308</f>
        <v>0.16500000000000001</v>
      </c>
      <c r="E309" s="26">
        <f>'2_Cleaned_Data'!I308</f>
        <v>84.3</v>
      </c>
      <c r="F309" s="26">
        <f>IF('2_Cleaned_Data'!D308="Airport",1,0)</f>
        <v>0</v>
      </c>
      <c r="G309" s="26">
        <f>IF('2_Cleaned_Data'!D308="High Street",1,0)</f>
        <v>0</v>
      </c>
      <c r="H309" s="26">
        <f>IF('2_Cleaned_Data'!D308="Mall",1,0)</f>
        <v>0</v>
      </c>
    </row>
    <row r="313" spans="1:14" ht="20.65" customHeight="1" x14ac:dyDescent="0.45">
      <c r="A313" s="27" t="s">
        <v>9</v>
      </c>
    </row>
    <row r="314" spans="1:14" ht="14.65" customHeight="1" thickBot="1" x14ac:dyDescent="0.5"/>
    <row r="315" spans="1:14" ht="17.25" customHeight="1" x14ac:dyDescent="0.45">
      <c r="A315" s="44" t="s">
        <v>10</v>
      </c>
      <c r="B315" s="45"/>
    </row>
    <row r="316" spans="1:14" x14ac:dyDescent="0.45">
      <c r="A316" s="21" t="s">
        <v>11</v>
      </c>
      <c r="B316" s="28">
        <v>0.90328716801116082</v>
      </c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</row>
    <row r="317" spans="1:14" x14ac:dyDescent="0.45">
      <c r="A317" s="21" t="s">
        <v>12</v>
      </c>
      <c r="B317" s="28">
        <v>0.81592770789362312</v>
      </c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</row>
    <row r="318" spans="1:14" x14ac:dyDescent="0.45">
      <c r="A318" s="21" t="s">
        <v>13</v>
      </c>
      <c r="B318" s="28">
        <v>0.81160386210588942</v>
      </c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</row>
    <row r="319" spans="1:14" x14ac:dyDescent="0.45">
      <c r="A319" s="21" t="s">
        <v>14</v>
      </c>
      <c r="B319" s="28">
        <v>44675.836526461477</v>
      </c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</row>
    <row r="320" spans="1:14" ht="14.65" customHeight="1" thickBot="1" x14ac:dyDescent="0.5">
      <c r="A320" s="21" t="s">
        <v>15</v>
      </c>
      <c r="B320" s="29">
        <v>306</v>
      </c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</row>
    <row r="321" spans="1:14" x14ac:dyDescent="0.4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</row>
    <row r="322" spans="1:14" x14ac:dyDescent="0.4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</row>
    <row r="323" spans="1:14" x14ac:dyDescent="0.45">
      <c r="A323" s="30"/>
      <c r="B323" s="22" t="s">
        <v>16</v>
      </c>
      <c r="C323" s="22" t="s">
        <v>14</v>
      </c>
      <c r="D323" s="22" t="s">
        <v>17</v>
      </c>
      <c r="E323" s="22" t="s">
        <v>18</v>
      </c>
      <c r="F323" s="22" t="s">
        <v>19</v>
      </c>
      <c r="G323" s="22" t="s">
        <v>20</v>
      </c>
      <c r="H323" s="22" t="s">
        <v>21</v>
      </c>
      <c r="I323" s="22" t="s">
        <v>22</v>
      </c>
      <c r="J323" s="22" t="s">
        <v>23</v>
      </c>
      <c r="K323" s="23" t="s">
        <v>24</v>
      </c>
      <c r="L323" s="28"/>
      <c r="M323" s="28"/>
      <c r="N323" s="28"/>
    </row>
    <row r="324" spans="1:14" x14ac:dyDescent="0.45">
      <c r="A324" s="23" t="s">
        <v>25</v>
      </c>
      <c r="B324" s="31">
        <v>138186.46408528931</v>
      </c>
      <c r="C324" s="31">
        <v>45400.869650262241</v>
      </c>
      <c r="D324" s="31">
        <v>3.0436964126410979</v>
      </c>
      <c r="E324" s="31">
        <v>2.5452871802618109E-3</v>
      </c>
      <c r="F324" s="31">
        <v>48839.527256441783</v>
      </c>
      <c r="G324" s="31">
        <v>227533.40091413679</v>
      </c>
      <c r="H324" s="31">
        <v>48839.527256441783</v>
      </c>
      <c r="I324" s="31">
        <v>227533.40091413679</v>
      </c>
      <c r="J324" s="31" t="s">
        <v>26</v>
      </c>
      <c r="K324" s="32" t="s">
        <v>27</v>
      </c>
      <c r="L324" s="28"/>
      <c r="M324" s="28"/>
      <c r="N324" s="28"/>
    </row>
    <row r="325" spans="1:14" x14ac:dyDescent="0.45">
      <c r="A325" s="23" t="s">
        <v>2</v>
      </c>
      <c r="B325" s="31">
        <v>1.161459975848516</v>
      </c>
      <c r="C325" s="31">
        <v>0.13202041528460551</v>
      </c>
      <c r="D325" s="31">
        <v>8.7975785665018318</v>
      </c>
      <c r="E325" s="31">
        <v>1.1507235213118599E-16</v>
      </c>
      <c r="F325" s="31">
        <v>0.90164954059876501</v>
      </c>
      <c r="G325" s="31">
        <v>1.4212704110982679</v>
      </c>
      <c r="H325" s="31">
        <v>0.90164954059876501</v>
      </c>
      <c r="I325" s="31">
        <v>1.4212704110982679</v>
      </c>
      <c r="J325" s="31" t="s">
        <v>26</v>
      </c>
      <c r="K325" s="32" t="s">
        <v>28</v>
      </c>
      <c r="L325" s="28"/>
      <c r="M325" s="28"/>
      <c r="N325" s="28"/>
    </row>
    <row r="326" spans="1:14" x14ac:dyDescent="0.45">
      <c r="A326" s="23" t="s">
        <v>3</v>
      </c>
      <c r="B326" s="31">
        <v>33.605031616996747</v>
      </c>
      <c r="C326" s="31">
        <v>1.0643897005001619</v>
      </c>
      <c r="D326" s="31">
        <v>31.57211273390336</v>
      </c>
      <c r="E326" s="31">
        <v>4.5807917609789119E-97</v>
      </c>
      <c r="F326" s="31">
        <v>31.510358980449261</v>
      </c>
      <c r="G326" s="31">
        <v>35.699704253544247</v>
      </c>
      <c r="H326" s="31">
        <v>31.510358980449261</v>
      </c>
      <c r="I326" s="31">
        <v>35.699704253544247</v>
      </c>
      <c r="J326" s="31" t="s">
        <v>26</v>
      </c>
      <c r="K326" s="32" t="s">
        <v>29</v>
      </c>
      <c r="L326" s="28"/>
      <c r="M326" s="28"/>
      <c r="N326" s="28"/>
    </row>
    <row r="327" spans="1:14" x14ac:dyDescent="0.45">
      <c r="A327" s="23" t="s">
        <v>4</v>
      </c>
      <c r="B327" s="33">
        <v>-53521.129516427238</v>
      </c>
      <c r="C327" s="33">
        <v>37902.162552932597</v>
      </c>
      <c r="D327" s="33">
        <v>-1.4120864328435569</v>
      </c>
      <c r="E327" s="33">
        <v>0.15896788789677199</v>
      </c>
      <c r="F327" s="33">
        <v>-128110.936922771</v>
      </c>
      <c r="G327" s="33">
        <v>21068.677889916511</v>
      </c>
      <c r="H327" s="33">
        <v>-128110.936922771</v>
      </c>
      <c r="I327" s="33">
        <v>21068.677889916511</v>
      </c>
      <c r="J327" s="33" t="s">
        <v>30</v>
      </c>
      <c r="K327" s="34" t="s">
        <v>31</v>
      </c>
      <c r="L327" s="28"/>
      <c r="M327" s="28"/>
      <c r="N327" s="28"/>
    </row>
    <row r="328" spans="1:14" x14ac:dyDescent="0.45">
      <c r="A328" s="23" t="s">
        <v>5</v>
      </c>
      <c r="B328" s="31">
        <v>2824.4196599265761</v>
      </c>
      <c r="C328" s="31">
        <v>487.52329979818938</v>
      </c>
      <c r="D328" s="31">
        <v>5.7934044610703674</v>
      </c>
      <c r="E328" s="31">
        <v>1.7521444177476909E-8</v>
      </c>
      <c r="F328" s="31">
        <v>1864.9950100199301</v>
      </c>
      <c r="G328" s="31">
        <v>3783.8443098332218</v>
      </c>
      <c r="H328" s="31">
        <v>1864.9950100199301</v>
      </c>
      <c r="I328" s="31">
        <v>3783.8443098332218</v>
      </c>
      <c r="J328" s="31" t="s">
        <v>26</v>
      </c>
      <c r="K328" s="32" t="s">
        <v>32</v>
      </c>
      <c r="L328" s="28"/>
      <c r="M328" s="28"/>
      <c r="N328" s="28"/>
    </row>
    <row r="329" spans="1:14" x14ac:dyDescent="0.45">
      <c r="A329" s="23" t="s">
        <v>6</v>
      </c>
      <c r="B329" s="31">
        <v>36186.237372351177</v>
      </c>
      <c r="C329" s="31">
        <v>9639.8504309381169</v>
      </c>
      <c r="D329" s="31">
        <v>3.7538173057348629</v>
      </c>
      <c r="E329" s="31">
        <v>2.0936177448112301E-4</v>
      </c>
      <c r="F329" s="31">
        <v>17215.430995130358</v>
      </c>
      <c r="G329" s="31">
        <v>55157.043749572011</v>
      </c>
      <c r="H329" s="31">
        <v>17215.430995130358</v>
      </c>
      <c r="I329" s="31">
        <v>55157.043749572011</v>
      </c>
      <c r="J329" s="31" t="s">
        <v>26</v>
      </c>
      <c r="K329" s="32" t="s">
        <v>33</v>
      </c>
      <c r="L329" s="28"/>
      <c r="M329" s="28"/>
      <c r="N329" s="28"/>
    </row>
    <row r="330" spans="1:14" x14ac:dyDescent="0.45">
      <c r="A330" s="23" t="s">
        <v>7</v>
      </c>
      <c r="B330" s="31">
        <v>14366.814630821909</v>
      </c>
      <c r="C330" s="31">
        <v>6291.3779874964684</v>
      </c>
      <c r="D330" s="31">
        <v>2.283572002727325</v>
      </c>
      <c r="E330" s="31">
        <v>2.3100305638485068E-2</v>
      </c>
      <c r="F330" s="31">
        <v>1985.6563854973849</v>
      </c>
      <c r="G330" s="31">
        <v>26747.972876146439</v>
      </c>
      <c r="H330" s="31">
        <v>1985.6563854973849</v>
      </c>
      <c r="I330" s="31">
        <v>26747.972876146439</v>
      </c>
      <c r="J330" s="31" t="s">
        <v>26</v>
      </c>
      <c r="K330" s="32" t="s">
        <v>34</v>
      </c>
      <c r="L330" s="28"/>
      <c r="M330" s="28"/>
      <c r="N330" s="28"/>
    </row>
    <row r="331" spans="1:14" x14ac:dyDescent="0.45">
      <c r="A331" s="23" t="s">
        <v>8</v>
      </c>
      <c r="B331" s="31">
        <v>25653.022405709129</v>
      </c>
      <c r="C331" s="31">
        <v>6931.1085477940314</v>
      </c>
      <c r="D331" s="31">
        <v>3.701142786729799</v>
      </c>
      <c r="E331" s="31">
        <v>2.5560338062369562E-4</v>
      </c>
      <c r="F331" s="31">
        <v>12012.90224184215</v>
      </c>
      <c r="G331" s="31">
        <v>39293.142569576114</v>
      </c>
      <c r="H331" s="31">
        <v>12012.90224184215</v>
      </c>
      <c r="I331" s="31">
        <v>39293.142569576114</v>
      </c>
      <c r="J331" s="31" t="s">
        <v>26</v>
      </c>
      <c r="K331" s="32" t="s">
        <v>35</v>
      </c>
      <c r="L331" s="28"/>
      <c r="M331" s="28"/>
      <c r="N331" s="28"/>
    </row>
    <row r="332" spans="1:14" x14ac:dyDescent="0.4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</row>
    <row r="333" spans="1:14" ht="20.65" customHeight="1" x14ac:dyDescent="0.45">
      <c r="A333" s="23" t="s">
        <v>36</v>
      </c>
      <c r="B333" s="39" t="s">
        <v>37</v>
      </c>
      <c r="C333" s="40"/>
      <c r="D333" s="40"/>
      <c r="E333" s="40"/>
      <c r="F333" s="40"/>
      <c r="G333" s="40"/>
      <c r="H333" s="40"/>
      <c r="I333" s="40"/>
      <c r="J333" s="40"/>
      <c r="K333" s="41"/>
      <c r="L333" s="28"/>
      <c r="M333" s="28"/>
      <c r="N333" s="28"/>
    </row>
  </sheetData>
  <mergeCells count="4">
    <mergeCell ref="B333:K333"/>
    <mergeCell ref="A2:H2"/>
    <mergeCell ref="A315:B31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8"/>
  <sheetViews>
    <sheetView workbookViewId="0">
      <pane ySplit="2" topLeftCell="A285" activePane="bottomLeft" state="frozen"/>
      <selection pane="bottomLeft" activeCell="F2" sqref="F2:G308"/>
    </sheetView>
  </sheetViews>
  <sheetFormatPr defaultRowHeight="14.25" x14ac:dyDescent="0.45"/>
  <cols>
    <col min="1" max="1" width="12" customWidth="1"/>
    <col min="2" max="2" width="16.59765625" bestFit="1" customWidth="1"/>
    <col min="3" max="3" width="10" customWidth="1"/>
    <col min="4" max="4" width="14" customWidth="1"/>
    <col min="5" max="5" width="18" customWidth="1"/>
    <col min="6" max="6" width="20" customWidth="1"/>
    <col min="7" max="7" width="16" customWidth="1"/>
    <col min="8" max="8" width="14" customWidth="1"/>
  </cols>
  <sheetData>
    <row r="1" spans="1:8" ht="15.4" customHeight="1" x14ac:dyDescent="0.45">
      <c r="A1" s="35" t="s">
        <v>166</v>
      </c>
      <c r="B1" s="36"/>
      <c r="C1" s="36"/>
      <c r="D1" s="36"/>
      <c r="E1" s="36"/>
      <c r="F1" s="36"/>
      <c r="G1" s="36"/>
      <c r="H1" s="36"/>
    </row>
    <row r="2" spans="1:8" ht="30" customHeight="1" x14ac:dyDescent="0.45">
      <c r="A2" s="1" t="s">
        <v>39</v>
      </c>
      <c r="B2" s="1" t="s">
        <v>40</v>
      </c>
      <c r="C2" s="1" t="s">
        <v>41</v>
      </c>
      <c r="D2" s="1" t="s">
        <v>42</v>
      </c>
      <c r="E2" s="1" t="s">
        <v>167</v>
      </c>
      <c r="F2" s="1" t="s">
        <v>168</v>
      </c>
      <c r="G2" s="1" t="s">
        <v>169</v>
      </c>
      <c r="H2" s="1" t="s">
        <v>170</v>
      </c>
    </row>
    <row r="3" spans="1:8" x14ac:dyDescent="0.45">
      <c r="A3" s="5" t="str">
        <f>'2_Cleaned_Data'!A3</f>
        <v>STR-1001</v>
      </c>
      <c r="B3" s="18">
        <f>'2_Cleaned_Data'!B3</f>
        <v>45658</v>
      </c>
      <c r="C3" s="5" t="str">
        <f>'2_Cleaned_Data'!C3</f>
        <v>East</v>
      </c>
      <c r="D3" s="5" t="str">
        <f>'2_Cleaned_Data'!D3</f>
        <v>Residential</v>
      </c>
      <c r="E3" s="12">
        <f>'2_Cleaned_Data'!M3</f>
        <v>658832.62</v>
      </c>
      <c r="F3" s="12">
        <f>'5_Multiple_Regression'!$B$324+'5_Multiple_Regression'!$B$325*'2_Cleaned_Data'!E3+'5_Multiple_Regression'!$B$326*'2_Cleaned_Data'!F3+'5_Multiple_Regression'!$B$327*'2_Cleaned_Data'!G3+'5_Multiple_Regression'!$B$328*'2_Cleaned_Data'!I3+'5_Multiple_Regression'!$B$329*IF('2_Cleaned_Data'!D3="Airport",1,0)+'5_Multiple_Regression'!$B$330*IF('2_Cleaned_Data'!D3="High Street",1,0)+'5_Multiple_Regression'!$B$331*IF('2_Cleaned_Data'!D3="Mall",1,0)</f>
        <v>708513.15762499813</v>
      </c>
      <c r="G3" s="12">
        <f>E3-F3</f>
        <v>-49680.537624998135</v>
      </c>
      <c r="H3" s="13">
        <f>G3/E3*100</f>
        <v>-7.5406918414267556</v>
      </c>
    </row>
    <row r="4" spans="1:8" x14ac:dyDescent="0.45">
      <c r="A4" s="5" t="str">
        <f>'2_Cleaned_Data'!A4</f>
        <v>STR-1001</v>
      </c>
      <c r="B4" s="18">
        <f>'2_Cleaned_Data'!B4</f>
        <v>45689</v>
      </c>
      <c r="C4" s="5" t="str">
        <f>'2_Cleaned_Data'!C4</f>
        <v>East</v>
      </c>
      <c r="D4" s="5" t="str">
        <f>'2_Cleaned_Data'!D4</f>
        <v>Residential</v>
      </c>
      <c r="E4" s="12">
        <f>'2_Cleaned_Data'!M4</f>
        <v>634436</v>
      </c>
      <c r="F4" s="12">
        <f>'5_Multiple_Regression'!$B$324+'5_Multiple_Regression'!$B$325*'2_Cleaned_Data'!E4+'5_Multiple_Regression'!$B$326*'2_Cleaned_Data'!F4+'5_Multiple_Regression'!$B$327*'2_Cleaned_Data'!G4+'5_Multiple_Regression'!$B$328*'2_Cleaned_Data'!I4+'5_Multiple_Regression'!$B$329*IF('2_Cleaned_Data'!D4="Airport",1,0)+'5_Multiple_Regression'!$B$330*IF('2_Cleaned_Data'!D4="High Street",1,0)+'5_Multiple_Regression'!$B$331*IF('2_Cleaned_Data'!D4="Mall",1,0)</f>
        <v>703686.17701867537</v>
      </c>
      <c r="G4" s="12">
        <f>E4-F4</f>
        <v>-69250.177018675371</v>
      </c>
      <c r="H4" s="13">
        <f>G4/E4*100</f>
        <v>-10.91523447891913</v>
      </c>
    </row>
    <row r="5" spans="1:8" x14ac:dyDescent="0.45">
      <c r="A5" s="5" t="str">
        <f>'2_Cleaned_Data'!A5</f>
        <v>STR-1001</v>
      </c>
      <c r="B5" s="18">
        <f>'2_Cleaned_Data'!B5</f>
        <v>45717</v>
      </c>
      <c r="C5" s="5" t="str">
        <f>'2_Cleaned_Data'!C5</f>
        <v>East</v>
      </c>
      <c r="D5" s="5" t="str">
        <f>'2_Cleaned_Data'!D5</f>
        <v>Residential</v>
      </c>
      <c r="E5" s="12">
        <f>'2_Cleaned_Data'!M5</f>
        <v>678722.06</v>
      </c>
      <c r="F5" s="12">
        <f>'5_Multiple_Regression'!$B$324+'5_Multiple_Regression'!$B$325*'2_Cleaned_Data'!E5+'5_Multiple_Regression'!$B$326*'2_Cleaned_Data'!F5+'5_Multiple_Regression'!$B$327*'2_Cleaned_Data'!G5+'5_Multiple_Regression'!$B$328*'2_Cleaned_Data'!I5+'5_Multiple_Regression'!$B$329*IF('2_Cleaned_Data'!D5="Airport",1,0)+'5_Multiple_Regression'!$B$330*IF('2_Cleaned_Data'!D5="High Street",1,0)+'5_Multiple_Regression'!$B$331*IF('2_Cleaned_Data'!D5="Mall",1,0)</f>
        <v>755456.45136663527</v>
      </c>
      <c r="G5" s="12">
        <f>E5-F5</f>
        <v>-76734.391366635216</v>
      </c>
      <c r="H5" s="13">
        <f>G5/E5*100</f>
        <v>-11.305716417503096</v>
      </c>
    </row>
    <row r="6" spans="1:8" x14ac:dyDescent="0.45">
      <c r="A6" s="5" t="str">
        <f>'2_Cleaned_Data'!A6</f>
        <v>STR-1001</v>
      </c>
      <c r="B6" s="18">
        <f>'2_Cleaned_Data'!B6</f>
        <v>45748</v>
      </c>
      <c r="C6" s="5" t="str">
        <f>'2_Cleaned_Data'!C6</f>
        <v>East</v>
      </c>
      <c r="D6" s="5" t="str">
        <f>'2_Cleaned_Data'!D6</f>
        <v>Residential</v>
      </c>
      <c r="E6" s="12">
        <f>'2_Cleaned_Data'!M6</f>
        <v>658920.30000000005</v>
      </c>
      <c r="F6" s="12">
        <f>'5_Multiple_Regression'!$B$324+'5_Multiple_Regression'!$B$325*'2_Cleaned_Data'!E6+'5_Multiple_Regression'!$B$326*'2_Cleaned_Data'!F6+'5_Multiple_Regression'!$B$327*'2_Cleaned_Data'!G6+'5_Multiple_Regression'!$B$328*'2_Cleaned_Data'!I6+'5_Multiple_Regression'!$B$329*IF('2_Cleaned_Data'!D6="Airport",1,0)+'5_Multiple_Regression'!$B$330*IF('2_Cleaned_Data'!D6="High Street",1,0)+'5_Multiple_Regression'!$B$331*IF('2_Cleaned_Data'!D6="Mall",1,0)</f>
        <v>758994.28542810038</v>
      </c>
      <c r="G6" s="12">
        <f>E6-F6</f>
        <v>-100073.98542810034</v>
      </c>
      <c r="H6" s="13">
        <f>G6/E6*100</f>
        <v>-15.187570549594593</v>
      </c>
    </row>
    <row r="7" spans="1:8" x14ac:dyDescent="0.45">
      <c r="A7" s="5" t="str">
        <f>'2_Cleaned_Data'!A10</f>
        <v>STR-1002</v>
      </c>
      <c r="B7" s="18">
        <f>'2_Cleaned_Data'!B10</f>
        <v>45748</v>
      </c>
      <c r="C7" s="5" t="str">
        <f>'2_Cleaned_Data'!C10</f>
        <v>East</v>
      </c>
      <c r="D7" s="5" t="str">
        <f>'2_Cleaned_Data'!D10</f>
        <v>High Street</v>
      </c>
      <c r="E7" s="12">
        <f>'2_Cleaned_Data'!M10</f>
        <v>850164.26</v>
      </c>
      <c r="F7" s="12">
        <f>'5_Multiple_Regression'!$B$324+'5_Multiple_Regression'!$B$325*'2_Cleaned_Data'!E10+'5_Multiple_Regression'!$B$326*'2_Cleaned_Data'!F10+'5_Multiple_Regression'!$B$327*'2_Cleaned_Data'!G10+'5_Multiple_Regression'!$B$328*'2_Cleaned_Data'!I10+'5_Multiple_Regression'!$B$329*IF('2_Cleaned_Data'!D10="Airport",1,0)+'5_Multiple_Regression'!$B$330*IF('2_Cleaned_Data'!D10="High Street",1,0)+'5_Multiple_Regression'!$B$331*IF('2_Cleaned_Data'!D10="Mall",1,0)</f>
        <v>782816.69901262887</v>
      </c>
      <c r="G7" s="12">
        <f>E7-F7</f>
        <v>67347.560987371136</v>
      </c>
      <c r="H7" s="13">
        <f>G7/E7*100</f>
        <v>7.9217116216307586</v>
      </c>
    </row>
    <row r="8" spans="1:8" x14ac:dyDescent="0.45">
      <c r="A8" s="5" t="str">
        <f>'2_Cleaned_Data'!A9</f>
        <v>STR-1002</v>
      </c>
      <c r="B8" s="18">
        <f>'2_Cleaned_Data'!B9</f>
        <v>45717</v>
      </c>
      <c r="C8" s="5" t="str">
        <f>'2_Cleaned_Data'!C9</f>
        <v>East</v>
      </c>
      <c r="D8" s="5" t="str">
        <f>'2_Cleaned_Data'!D9</f>
        <v>High Street</v>
      </c>
      <c r="E8" s="12">
        <f>'2_Cleaned_Data'!M9</f>
        <v>806615.54</v>
      </c>
      <c r="F8" s="12">
        <f>'5_Multiple_Regression'!$B$324+'5_Multiple_Regression'!$B$325*'2_Cleaned_Data'!E9+'5_Multiple_Regression'!$B$326*'2_Cleaned_Data'!F9+'5_Multiple_Regression'!$B$327*'2_Cleaned_Data'!G9+'5_Multiple_Regression'!$B$328*'2_Cleaned_Data'!I9+'5_Multiple_Regression'!$B$329*IF('2_Cleaned_Data'!D9="Airport",1,0)+'5_Multiple_Regression'!$B$330*IF('2_Cleaned_Data'!D9="High Street",1,0)+'5_Multiple_Regression'!$B$331*IF('2_Cleaned_Data'!D9="Mall",1,0)</f>
        <v>797090.34410776536</v>
      </c>
      <c r="G8" s="12">
        <f>E8-F8</f>
        <v>9525.1958922346821</v>
      </c>
      <c r="H8" s="13">
        <f>G8/E8*100</f>
        <v>1.1808842527673942</v>
      </c>
    </row>
    <row r="9" spans="1:8" x14ac:dyDescent="0.45">
      <c r="A9" s="5" t="str">
        <f>'2_Cleaned_Data'!A8</f>
        <v>STR-1002</v>
      </c>
      <c r="B9" s="18">
        <f>'2_Cleaned_Data'!B8</f>
        <v>45689</v>
      </c>
      <c r="C9" s="5" t="str">
        <f>'2_Cleaned_Data'!C8</f>
        <v>East</v>
      </c>
      <c r="D9" s="5" t="str">
        <f>'2_Cleaned_Data'!D8</f>
        <v>High Street</v>
      </c>
      <c r="E9" s="12">
        <f>'2_Cleaned_Data'!M8</f>
        <v>761835.34</v>
      </c>
      <c r="F9" s="12">
        <f>'5_Multiple_Regression'!$B$324+'5_Multiple_Regression'!$B$325*'2_Cleaned_Data'!E8+'5_Multiple_Regression'!$B$326*'2_Cleaned_Data'!F8+'5_Multiple_Regression'!$B$327*'2_Cleaned_Data'!G8+'5_Multiple_Regression'!$B$328*'2_Cleaned_Data'!I8+'5_Multiple_Regression'!$B$329*IF('2_Cleaned_Data'!D8="Airport",1,0)+'5_Multiple_Regression'!$B$330*IF('2_Cleaned_Data'!D8="High Street",1,0)+'5_Multiple_Regression'!$B$331*IF('2_Cleaned_Data'!D8="Mall",1,0)</f>
        <v>788711.14357103431</v>
      </c>
      <c r="G9" s="12">
        <f>E9-F9</f>
        <v>-26875.803571034339</v>
      </c>
      <c r="H9" s="13">
        <f>G9/E9*100</f>
        <v>-3.527770655931286</v>
      </c>
    </row>
    <row r="10" spans="1:8" x14ac:dyDescent="0.45">
      <c r="A10" s="5" t="str">
        <f>'2_Cleaned_Data'!A7</f>
        <v>STR-1002</v>
      </c>
      <c r="B10" s="18">
        <f>'2_Cleaned_Data'!B7</f>
        <v>45658</v>
      </c>
      <c r="C10" s="5" t="str">
        <f>'2_Cleaned_Data'!C7</f>
        <v>East</v>
      </c>
      <c r="D10" s="5" t="str">
        <f>'2_Cleaned_Data'!D7</f>
        <v>High Street</v>
      </c>
      <c r="E10" s="12">
        <f>'2_Cleaned_Data'!M7</f>
        <v>741341.44</v>
      </c>
      <c r="F10" s="12">
        <f>'5_Multiple_Regression'!$B$324+'5_Multiple_Regression'!$B$325*'2_Cleaned_Data'!E7+'5_Multiple_Regression'!$B$326*'2_Cleaned_Data'!F7+'5_Multiple_Regression'!$B$327*'2_Cleaned_Data'!G7+'5_Multiple_Regression'!$B$328*'2_Cleaned_Data'!I7+'5_Multiple_Regression'!$B$329*IF('2_Cleaned_Data'!D7="Airport",1,0)+'5_Multiple_Regression'!$B$330*IF('2_Cleaned_Data'!D7="High Street",1,0)+'5_Multiple_Regression'!$B$331*IF('2_Cleaned_Data'!D7="Mall",1,0)</f>
        <v>792842.62707604724</v>
      </c>
      <c r="G10" s="12">
        <f>E10-F10</f>
        <v>-51501.187076047296</v>
      </c>
      <c r="H10" s="13">
        <f>G10/E10*100</f>
        <v>-6.947026605722634</v>
      </c>
    </row>
    <row r="11" spans="1:8" x14ac:dyDescent="0.45">
      <c r="A11" s="5" t="str">
        <f>'2_Cleaned_Data'!A11</f>
        <v>STR-1003</v>
      </c>
      <c r="B11" s="18">
        <f>'2_Cleaned_Data'!B11</f>
        <v>45658</v>
      </c>
      <c r="C11" s="5" t="str">
        <f>'2_Cleaned_Data'!C11</f>
        <v>North</v>
      </c>
      <c r="D11" s="5" t="str">
        <f>'2_Cleaned_Data'!D11</f>
        <v>Airport</v>
      </c>
      <c r="E11" s="12">
        <f>'2_Cleaned_Data'!M11</f>
        <v>930581.7</v>
      </c>
      <c r="F11" s="12">
        <f>'5_Multiple_Regression'!$B$324+'5_Multiple_Regression'!$B$325*'2_Cleaned_Data'!E11+'5_Multiple_Regression'!$B$326*'2_Cleaned_Data'!F11+'5_Multiple_Regression'!$B$327*'2_Cleaned_Data'!G11+'5_Multiple_Regression'!$B$328*'2_Cleaned_Data'!I11+'5_Multiple_Regression'!$B$329*IF('2_Cleaned_Data'!D11="Airport",1,0)+'5_Multiple_Regression'!$B$330*IF('2_Cleaned_Data'!D11="High Street",1,0)+'5_Multiple_Regression'!$B$331*IF('2_Cleaned_Data'!D11="Mall",1,0)</f>
        <v>865496.8432046955</v>
      </c>
      <c r="G11" s="12">
        <f>E11-F11</f>
        <v>65084.856795304455</v>
      </c>
      <c r="H11" s="13">
        <f>G11/E11*100</f>
        <v>6.9939970660614161</v>
      </c>
    </row>
    <row r="12" spans="1:8" x14ac:dyDescent="0.45">
      <c r="A12" s="5" t="str">
        <f>'2_Cleaned_Data'!A14</f>
        <v>STR-1003</v>
      </c>
      <c r="B12" s="18">
        <f>'2_Cleaned_Data'!B14</f>
        <v>45748</v>
      </c>
      <c r="C12" s="5" t="str">
        <f>'2_Cleaned_Data'!C14</f>
        <v>North</v>
      </c>
      <c r="D12" s="5" t="str">
        <f>'2_Cleaned_Data'!D14</f>
        <v>Airport</v>
      </c>
      <c r="E12" s="12">
        <f>'2_Cleaned_Data'!M14</f>
        <v>910791.94</v>
      </c>
      <c r="F12" s="12">
        <f>'5_Multiple_Regression'!$B$324+'5_Multiple_Regression'!$B$325*'2_Cleaned_Data'!E14+'5_Multiple_Regression'!$B$326*'2_Cleaned_Data'!F14+'5_Multiple_Regression'!$B$327*'2_Cleaned_Data'!G14+'5_Multiple_Regression'!$B$328*'2_Cleaned_Data'!I14+'5_Multiple_Regression'!$B$329*IF('2_Cleaned_Data'!D14="Airport",1,0)+'5_Multiple_Regression'!$B$330*IF('2_Cleaned_Data'!D14="High Street",1,0)+'5_Multiple_Regression'!$B$331*IF('2_Cleaned_Data'!D14="Mall",1,0)</f>
        <v>871529.07103220304</v>
      </c>
      <c r="G12" s="12">
        <f>E12-F12</f>
        <v>39262.868967796909</v>
      </c>
      <c r="H12" s="13">
        <f>G12/E12*100</f>
        <v>4.3108494095585552</v>
      </c>
    </row>
    <row r="13" spans="1:8" x14ac:dyDescent="0.45">
      <c r="A13" s="5" t="str">
        <f>'2_Cleaned_Data'!A12</f>
        <v>STR-1003</v>
      </c>
      <c r="B13" s="18">
        <f>'2_Cleaned_Data'!B12</f>
        <v>45689</v>
      </c>
      <c r="C13" s="5" t="str">
        <f>'2_Cleaned_Data'!C12</f>
        <v>North</v>
      </c>
      <c r="D13" s="5" t="str">
        <f>'2_Cleaned_Data'!D12</f>
        <v>Airport</v>
      </c>
      <c r="E13" s="12">
        <f>'2_Cleaned_Data'!M12</f>
        <v>779010.94</v>
      </c>
      <c r="F13" s="12">
        <f>'5_Multiple_Regression'!$B$324+'5_Multiple_Regression'!$B$325*'2_Cleaned_Data'!E12+'5_Multiple_Regression'!$B$326*'2_Cleaned_Data'!F12+'5_Multiple_Regression'!$B$327*'2_Cleaned_Data'!G12+'5_Multiple_Regression'!$B$328*'2_Cleaned_Data'!I12+'5_Multiple_Regression'!$B$329*IF('2_Cleaned_Data'!D12="Airport",1,0)+'5_Multiple_Regression'!$B$330*IF('2_Cleaned_Data'!D12="High Street",1,0)+'5_Multiple_Regression'!$B$331*IF('2_Cleaned_Data'!D12="Mall",1,0)</f>
        <v>799677.981699834</v>
      </c>
      <c r="G13" s="12">
        <f>E13-F13</f>
        <v>-20667.041699834052</v>
      </c>
      <c r="H13" s="13">
        <f>G13/E13*100</f>
        <v>-2.6529847834786571</v>
      </c>
    </row>
    <row r="14" spans="1:8" x14ac:dyDescent="0.45">
      <c r="A14" s="5" t="str">
        <f>'2_Cleaned_Data'!A13</f>
        <v>STR-1003</v>
      </c>
      <c r="B14" s="18">
        <f>'2_Cleaned_Data'!B13</f>
        <v>45717</v>
      </c>
      <c r="C14" s="5" t="str">
        <f>'2_Cleaned_Data'!C13</f>
        <v>North</v>
      </c>
      <c r="D14" s="5" t="str">
        <f>'2_Cleaned_Data'!D13</f>
        <v>Airport</v>
      </c>
      <c r="E14" s="12">
        <f>'2_Cleaned_Data'!M13</f>
        <v>723060.76</v>
      </c>
      <c r="F14" s="12">
        <f>'5_Multiple_Regression'!$B$324+'5_Multiple_Regression'!$B$325*'2_Cleaned_Data'!E13+'5_Multiple_Regression'!$B$326*'2_Cleaned_Data'!F13+'5_Multiple_Regression'!$B$327*'2_Cleaned_Data'!G13+'5_Multiple_Regression'!$B$328*'2_Cleaned_Data'!I13+'5_Multiple_Regression'!$B$329*IF('2_Cleaned_Data'!D13="Airport",1,0)+'5_Multiple_Regression'!$B$330*IF('2_Cleaned_Data'!D13="High Street",1,0)+'5_Multiple_Regression'!$B$331*IF('2_Cleaned_Data'!D13="Mall",1,0)</f>
        <v>760415.20601181372</v>
      </c>
      <c r="G14" s="12">
        <f>E14-F14</f>
        <v>-37354.446011813707</v>
      </c>
      <c r="H14" s="13">
        <f>G14/E14*100</f>
        <v>-5.1661558859609125</v>
      </c>
    </row>
    <row r="15" spans="1:8" x14ac:dyDescent="0.45">
      <c r="A15" s="5" t="str">
        <f>'2_Cleaned_Data'!A15</f>
        <v>STR-1004</v>
      </c>
      <c r="B15" s="18">
        <f>'2_Cleaned_Data'!B15</f>
        <v>45658</v>
      </c>
      <c r="C15" s="5" t="str">
        <f>'2_Cleaned_Data'!C15</f>
        <v>East</v>
      </c>
      <c r="D15" s="5" t="str">
        <f>'2_Cleaned_Data'!D15</f>
        <v>Residential</v>
      </c>
      <c r="E15" s="12">
        <f>'2_Cleaned_Data'!M15</f>
        <v>922168.6</v>
      </c>
      <c r="F15" s="12">
        <f>'5_Multiple_Regression'!$B$324+'5_Multiple_Regression'!$B$325*'2_Cleaned_Data'!E15+'5_Multiple_Regression'!$B$326*'2_Cleaned_Data'!F15+'5_Multiple_Regression'!$B$327*'2_Cleaned_Data'!G15+'5_Multiple_Regression'!$B$328*'2_Cleaned_Data'!I15+'5_Multiple_Regression'!$B$329*IF('2_Cleaned_Data'!D15="Airport",1,0)+'5_Multiple_Regression'!$B$330*IF('2_Cleaned_Data'!D15="High Street",1,0)+'5_Multiple_Regression'!$B$331*IF('2_Cleaned_Data'!D15="Mall",1,0)</f>
        <v>875463.02730935952</v>
      </c>
      <c r="G15" s="12">
        <f>E15-F15</f>
        <v>46705.57269064046</v>
      </c>
      <c r="H15" s="13">
        <f>G15/E15*100</f>
        <v>5.0647541773424578</v>
      </c>
    </row>
    <row r="16" spans="1:8" x14ac:dyDescent="0.45">
      <c r="A16" s="5" t="str">
        <f>'2_Cleaned_Data'!A18</f>
        <v>STR-1004</v>
      </c>
      <c r="B16" s="18">
        <f>'2_Cleaned_Data'!B18</f>
        <v>45748</v>
      </c>
      <c r="C16" s="5" t="str">
        <f>'2_Cleaned_Data'!C18</f>
        <v>East</v>
      </c>
      <c r="D16" s="5" t="str">
        <f>'2_Cleaned_Data'!D18</f>
        <v>Residential</v>
      </c>
      <c r="E16" s="12">
        <f>'2_Cleaned_Data'!M18</f>
        <v>834017.02</v>
      </c>
      <c r="F16" s="12">
        <f>'5_Multiple_Regression'!$B$324+'5_Multiple_Regression'!$B$325*'2_Cleaned_Data'!E18+'5_Multiple_Regression'!$B$326*'2_Cleaned_Data'!F18+'5_Multiple_Regression'!$B$327*'2_Cleaned_Data'!G18+'5_Multiple_Regression'!$B$328*'2_Cleaned_Data'!I18+'5_Multiple_Regression'!$B$329*IF('2_Cleaned_Data'!D18="Airport",1,0)+'5_Multiple_Regression'!$B$330*IF('2_Cleaned_Data'!D18="High Street",1,0)+'5_Multiple_Regression'!$B$331*IF('2_Cleaned_Data'!D18="Mall",1,0)</f>
        <v>809037.0553003737</v>
      </c>
      <c r="G16" s="12">
        <f>E16-F16</f>
        <v>24979.964699626318</v>
      </c>
      <c r="H16" s="13">
        <f>G16/E16*100</f>
        <v>2.995138480462463</v>
      </c>
    </row>
    <row r="17" spans="1:8" x14ac:dyDescent="0.45">
      <c r="A17" s="5" t="str">
        <f>'2_Cleaned_Data'!A17</f>
        <v>STR-1004</v>
      </c>
      <c r="B17" s="18">
        <f>'2_Cleaned_Data'!B17</f>
        <v>45717</v>
      </c>
      <c r="C17" s="5" t="str">
        <f>'2_Cleaned_Data'!C17</f>
        <v>East</v>
      </c>
      <c r="D17" s="5" t="str">
        <f>'2_Cleaned_Data'!D17</f>
        <v>Residential</v>
      </c>
      <c r="E17" s="12">
        <f>'2_Cleaned_Data'!M17</f>
        <v>746501.09</v>
      </c>
      <c r="F17" s="12">
        <f>'5_Multiple_Regression'!$B$324+'5_Multiple_Regression'!$B$325*'2_Cleaned_Data'!E17+'5_Multiple_Regression'!$B$326*'2_Cleaned_Data'!F17+'5_Multiple_Regression'!$B$327*'2_Cleaned_Data'!G17+'5_Multiple_Regression'!$B$328*'2_Cleaned_Data'!I17+'5_Multiple_Regression'!$B$329*IF('2_Cleaned_Data'!D17="Airport",1,0)+'5_Multiple_Regression'!$B$330*IF('2_Cleaned_Data'!D17="High Street",1,0)+'5_Multiple_Regression'!$B$331*IF('2_Cleaned_Data'!D17="Mall",1,0)</f>
        <v>745291.36662790633</v>
      </c>
      <c r="G17" s="12">
        <f>E17-F17</f>
        <v>1209.7233720936347</v>
      </c>
      <c r="H17" s="13">
        <f>G17/E17*100</f>
        <v>0.16205245890446521</v>
      </c>
    </row>
    <row r="18" spans="1:8" x14ac:dyDescent="0.45">
      <c r="A18" s="5" t="str">
        <f>'2_Cleaned_Data'!A16</f>
        <v>STR-1004</v>
      </c>
      <c r="B18" s="18">
        <f>'2_Cleaned_Data'!B16</f>
        <v>45689</v>
      </c>
      <c r="C18" s="5" t="str">
        <f>'2_Cleaned_Data'!C16</f>
        <v>East</v>
      </c>
      <c r="D18" s="5" t="str">
        <f>'2_Cleaned_Data'!D16</f>
        <v>Residential</v>
      </c>
      <c r="E18" s="12">
        <f>'2_Cleaned_Data'!M16</f>
        <v>726606.28</v>
      </c>
      <c r="F18" s="12">
        <f>'5_Multiple_Regression'!$B$324+'5_Multiple_Regression'!$B$325*'2_Cleaned_Data'!E16+'5_Multiple_Regression'!$B$326*'2_Cleaned_Data'!F16+'5_Multiple_Regression'!$B$327*'2_Cleaned_Data'!G16+'5_Multiple_Regression'!$B$328*'2_Cleaned_Data'!I16+'5_Multiple_Regression'!$B$329*IF('2_Cleaned_Data'!D16="Airport",1,0)+'5_Multiple_Regression'!$B$330*IF('2_Cleaned_Data'!D16="High Street",1,0)+'5_Multiple_Regression'!$B$331*IF('2_Cleaned_Data'!D16="Mall",1,0)</f>
        <v>772743.45259249862</v>
      </c>
      <c r="G18" s="12">
        <f>E18-F18</f>
        <v>-46137.172592498595</v>
      </c>
      <c r="H18" s="13">
        <f>G18/E18*100</f>
        <v>-6.3496798558496614</v>
      </c>
    </row>
    <row r="19" spans="1:8" x14ac:dyDescent="0.45">
      <c r="A19" s="5" t="str">
        <f>'2_Cleaned_Data'!A22</f>
        <v>STR-1005</v>
      </c>
      <c r="B19" s="18">
        <f>'2_Cleaned_Data'!B22</f>
        <v>45748</v>
      </c>
      <c r="C19" s="5" t="str">
        <f>'2_Cleaned_Data'!C22</f>
        <v>South</v>
      </c>
      <c r="D19" s="5" t="str">
        <f>'2_Cleaned_Data'!D22</f>
        <v>Residential</v>
      </c>
      <c r="E19" s="12">
        <f>'2_Cleaned_Data'!M22</f>
        <v>591619.94999999995</v>
      </c>
      <c r="F19" s="12">
        <f>'5_Multiple_Regression'!$B$324+'5_Multiple_Regression'!$B$325*'2_Cleaned_Data'!E22+'5_Multiple_Regression'!$B$326*'2_Cleaned_Data'!F22+'5_Multiple_Regression'!$B$327*'2_Cleaned_Data'!G22+'5_Multiple_Regression'!$B$328*'2_Cleaned_Data'!I22+'5_Multiple_Regression'!$B$329*IF('2_Cleaned_Data'!D22="Airport",1,0)+'5_Multiple_Regression'!$B$330*IF('2_Cleaned_Data'!D22="High Street",1,0)+'5_Multiple_Regression'!$B$331*IF('2_Cleaned_Data'!D22="Mall",1,0)</f>
        <v>590748.00342681562</v>
      </c>
      <c r="G19" s="12">
        <f>E19-F19</f>
        <v>871.94657318433747</v>
      </c>
      <c r="H19" s="13">
        <f>G19/E19*100</f>
        <v>0.14738288882657483</v>
      </c>
    </row>
    <row r="20" spans="1:8" x14ac:dyDescent="0.45">
      <c r="A20" s="5" t="str">
        <f>'2_Cleaned_Data'!A19</f>
        <v>STR-1005</v>
      </c>
      <c r="B20" s="18">
        <f>'2_Cleaned_Data'!B19</f>
        <v>45658</v>
      </c>
      <c r="C20" s="5" t="str">
        <f>'2_Cleaned_Data'!C19</f>
        <v>South</v>
      </c>
      <c r="D20" s="5" t="str">
        <f>'2_Cleaned_Data'!D19</f>
        <v>Residential</v>
      </c>
      <c r="E20" s="12">
        <f>'2_Cleaned_Data'!M19</f>
        <v>666152.52</v>
      </c>
      <c r="F20" s="12">
        <f>'5_Multiple_Regression'!$B$324+'5_Multiple_Regression'!$B$325*'2_Cleaned_Data'!E19+'5_Multiple_Regression'!$B$326*'2_Cleaned_Data'!F19+'5_Multiple_Regression'!$B$327*'2_Cleaned_Data'!G19+'5_Multiple_Regression'!$B$328*'2_Cleaned_Data'!I19+'5_Multiple_Regression'!$B$329*IF('2_Cleaned_Data'!D19="Airport",1,0)+'5_Multiple_Regression'!$B$330*IF('2_Cleaned_Data'!D19="High Street",1,0)+'5_Multiple_Regression'!$B$331*IF('2_Cleaned_Data'!D19="Mall",1,0)</f>
        <v>679455.31891691952</v>
      </c>
      <c r="G20" s="12">
        <f>E20-F20</f>
        <v>-13302.798916919506</v>
      </c>
      <c r="H20" s="13">
        <f>G20/E20*100</f>
        <v>-1.9969599329774368</v>
      </c>
    </row>
    <row r="21" spans="1:8" x14ac:dyDescent="0.45">
      <c r="A21" s="5" t="str">
        <f>'2_Cleaned_Data'!A21</f>
        <v>STR-1005</v>
      </c>
      <c r="B21" s="18">
        <f>'2_Cleaned_Data'!B21</f>
        <v>45717</v>
      </c>
      <c r="C21" s="5" t="str">
        <f>'2_Cleaned_Data'!C21</f>
        <v>South</v>
      </c>
      <c r="D21" s="5" t="str">
        <f>'2_Cleaned_Data'!D21</f>
        <v>Residential</v>
      </c>
      <c r="E21" s="12">
        <f>'2_Cleaned_Data'!M21</f>
        <v>666573.19999999995</v>
      </c>
      <c r="F21" s="12">
        <f>'5_Multiple_Regression'!$B$324+'5_Multiple_Regression'!$B$325*'2_Cleaned_Data'!E21+'5_Multiple_Regression'!$B$326*'2_Cleaned_Data'!F21+'5_Multiple_Regression'!$B$327*'2_Cleaned_Data'!G21+'5_Multiple_Regression'!$B$328*'2_Cleaned_Data'!I21+'5_Multiple_Regression'!$B$329*IF('2_Cleaned_Data'!D21="Airport",1,0)+'5_Multiple_Regression'!$B$330*IF('2_Cleaned_Data'!D21="High Street",1,0)+'5_Multiple_Regression'!$B$331*IF('2_Cleaned_Data'!D21="Mall",1,0)</f>
        <v>681628.20991061954</v>
      </c>
      <c r="G21" s="12">
        <f>E21-F21</f>
        <v>-15055.009910619585</v>
      </c>
      <c r="H21" s="13">
        <f>G21/E21*100</f>
        <v>-2.258568137845864</v>
      </c>
    </row>
    <row r="22" spans="1:8" x14ac:dyDescent="0.45">
      <c r="A22" s="5" t="str">
        <f>'2_Cleaned_Data'!A20</f>
        <v>STR-1005</v>
      </c>
      <c r="B22" s="18">
        <f>'2_Cleaned_Data'!B20</f>
        <v>45689</v>
      </c>
      <c r="C22" s="5" t="str">
        <f>'2_Cleaned_Data'!C20</f>
        <v>South</v>
      </c>
      <c r="D22" s="5" t="str">
        <f>'2_Cleaned_Data'!D20</f>
        <v>Residential</v>
      </c>
      <c r="E22" s="12">
        <f>'2_Cleaned_Data'!M20</f>
        <v>573155.18999999994</v>
      </c>
      <c r="F22" s="12">
        <f>'5_Multiple_Regression'!$B$324+'5_Multiple_Regression'!$B$325*'2_Cleaned_Data'!E20+'5_Multiple_Regression'!$B$326*'2_Cleaned_Data'!F20+'5_Multiple_Regression'!$B$327*'2_Cleaned_Data'!G20+'5_Multiple_Regression'!$B$328*'2_Cleaned_Data'!I20+'5_Multiple_Regression'!$B$329*IF('2_Cleaned_Data'!D20="Airport",1,0)+'5_Multiple_Regression'!$B$330*IF('2_Cleaned_Data'!D20="High Street",1,0)+'5_Multiple_Regression'!$B$331*IF('2_Cleaned_Data'!D20="Mall",1,0)</f>
        <v>591157.93637187465</v>
      </c>
      <c r="G22" s="12">
        <f>E22-F22</f>
        <v>-18002.746371874702</v>
      </c>
      <c r="H22" s="13">
        <f>G22/E22*100</f>
        <v>-3.1409898550992277</v>
      </c>
    </row>
    <row r="23" spans="1:8" x14ac:dyDescent="0.45">
      <c r="A23" s="5" t="str">
        <f>'2_Cleaned_Data'!A25</f>
        <v>STR-1006</v>
      </c>
      <c r="B23" s="18">
        <f>'2_Cleaned_Data'!B25</f>
        <v>45717</v>
      </c>
      <c r="C23" s="5" t="str">
        <f>'2_Cleaned_Data'!C25</f>
        <v>North</v>
      </c>
      <c r="D23" s="5" t="str">
        <f>'2_Cleaned_Data'!D25</f>
        <v>Residential</v>
      </c>
      <c r="E23" s="12">
        <f>'2_Cleaned_Data'!M25</f>
        <v>555929.4</v>
      </c>
      <c r="F23" s="12">
        <f>'5_Multiple_Regression'!$B$324+'5_Multiple_Regression'!$B$325*'2_Cleaned_Data'!E25+'5_Multiple_Regression'!$B$326*'2_Cleaned_Data'!F25+'5_Multiple_Regression'!$B$327*'2_Cleaned_Data'!G25+'5_Multiple_Regression'!$B$328*'2_Cleaned_Data'!I25+'5_Multiple_Regression'!$B$329*IF('2_Cleaned_Data'!D25="Airport",1,0)+'5_Multiple_Regression'!$B$330*IF('2_Cleaned_Data'!D25="High Street",1,0)+'5_Multiple_Regression'!$B$331*IF('2_Cleaned_Data'!D25="Mall",1,0)</f>
        <v>523364.6803755975</v>
      </c>
      <c r="G23" s="12">
        <f>E23-F23</f>
        <v>32564.719624402525</v>
      </c>
      <c r="H23" s="13">
        <f>G23/E23*100</f>
        <v>5.8577077636841164</v>
      </c>
    </row>
    <row r="24" spans="1:8" x14ac:dyDescent="0.45">
      <c r="A24" s="5" t="str">
        <f>'2_Cleaned_Data'!A26</f>
        <v>STR-1006</v>
      </c>
      <c r="B24" s="18">
        <f>'2_Cleaned_Data'!B26</f>
        <v>45748</v>
      </c>
      <c r="C24" s="5" t="str">
        <f>'2_Cleaned_Data'!C26</f>
        <v>North</v>
      </c>
      <c r="D24" s="5" t="str">
        <f>'2_Cleaned_Data'!D26</f>
        <v>Residential</v>
      </c>
      <c r="E24" s="12">
        <f>'2_Cleaned_Data'!M26</f>
        <v>565810.99</v>
      </c>
      <c r="F24" s="12">
        <f>'5_Multiple_Regression'!$B$324+'5_Multiple_Regression'!$B$325*'2_Cleaned_Data'!E26+'5_Multiple_Regression'!$B$326*'2_Cleaned_Data'!F26+'5_Multiple_Regression'!$B$327*'2_Cleaned_Data'!G26+'5_Multiple_Regression'!$B$328*'2_Cleaned_Data'!I26+'5_Multiple_Regression'!$B$329*IF('2_Cleaned_Data'!D26="Airport",1,0)+'5_Multiple_Regression'!$B$330*IF('2_Cleaned_Data'!D26="High Street",1,0)+'5_Multiple_Regression'!$B$331*IF('2_Cleaned_Data'!D26="Mall",1,0)</f>
        <v>546645.6039331397</v>
      </c>
      <c r="G24" s="12">
        <f>E24-F24</f>
        <v>19165.386066860287</v>
      </c>
      <c r="H24" s="13">
        <f>G24/E24*100</f>
        <v>3.387241747789361</v>
      </c>
    </row>
    <row r="25" spans="1:8" x14ac:dyDescent="0.45">
      <c r="A25" s="5" t="str">
        <f>'2_Cleaned_Data'!A24</f>
        <v>STR-1006</v>
      </c>
      <c r="B25" s="18">
        <f>'2_Cleaned_Data'!B24</f>
        <v>45689</v>
      </c>
      <c r="C25" s="5" t="str">
        <f>'2_Cleaned_Data'!C24</f>
        <v>North</v>
      </c>
      <c r="D25" s="5" t="str">
        <f>'2_Cleaned_Data'!D24</f>
        <v>Residential</v>
      </c>
      <c r="E25" s="12">
        <f>'2_Cleaned_Data'!M24</f>
        <v>491905.13</v>
      </c>
      <c r="F25" s="12">
        <f>'5_Multiple_Regression'!$B$324+'5_Multiple_Regression'!$B$325*'2_Cleaned_Data'!E24+'5_Multiple_Regression'!$B$326*'2_Cleaned_Data'!F24+'5_Multiple_Regression'!$B$327*'2_Cleaned_Data'!G24+'5_Multiple_Regression'!$B$328*'2_Cleaned_Data'!I24+'5_Multiple_Regression'!$B$329*IF('2_Cleaned_Data'!D24="Airport",1,0)+'5_Multiple_Regression'!$B$330*IF('2_Cleaned_Data'!D24="High Street",1,0)+'5_Multiple_Regression'!$B$331*IF('2_Cleaned_Data'!D24="Mall",1,0)</f>
        <v>488934.99480881949</v>
      </c>
      <c r="G25" s="12">
        <f>E25-F25</f>
        <v>2970.1351911805104</v>
      </c>
      <c r="H25" s="13">
        <f>G25/E25*100</f>
        <v>0.60380244279633966</v>
      </c>
    </row>
    <row r="26" spans="1:8" x14ac:dyDescent="0.45">
      <c r="A26" s="5" t="str">
        <f>'2_Cleaned_Data'!A23</f>
        <v>STR-1006</v>
      </c>
      <c r="B26" s="18">
        <f>'2_Cleaned_Data'!B23</f>
        <v>45658</v>
      </c>
      <c r="C26" s="5" t="str">
        <f>'2_Cleaned_Data'!C23</f>
        <v>North</v>
      </c>
      <c r="D26" s="5" t="str">
        <f>'2_Cleaned_Data'!D23</f>
        <v>Residential</v>
      </c>
      <c r="E26" s="12">
        <f>'2_Cleaned_Data'!M23</f>
        <v>415721.82</v>
      </c>
      <c r="F26" s="12">
        <f>'5_Multiple_Regression'!$B$324+'5_Multiple_Regression'!$B$325*'2_Cleaned_Data'!E23+'5_Multiple_Regression'!$B$326*'2_Cleaned_Data'!F23+'5_Multiple_Regression'!$B$327*'2_Cleaned_Data'!G23+'5_Multiple_Regression'!$B$328*'2_Cleaned_Data'!I23+'5_Multiple_Regression'!$B$329*IF('2_Cleaned_Data'!D23="Airport",1,0)+'5_Multiple_Regression'!$B$330*IF('2_Cleaned_Data'!D23="High Street",1,0)+'5_Multiple_Regression'!$B$331*IF('2_Cleaned_Data'!D23="Mall",1,0)</f>
        <v>495424.8737875839</v>
      </c>
      <c r="G26" s="12">
        <f>E26-F26</f>
        <v>-79703.053787583893</v>
      </c>
      <c r="H26" s="13">
        <f>G26/E26*100</f>
        <v>-19.172208422349325</v>
      </c>
    </row>
    <row r="27" spans="1:8" x14ac:dyDescent="0.45">
      <c r="A27" s="5" t="str">
        <f>'2_Cleaned_Data'!A30</f>
        <v>STR-1007</v>
      </c>
      <c r="B27" s="18">
        <f>'2_Cleaned_Data'!B30</f>
        <v>45748</v>
      </c>
      <c r="C27" s="5" t="str">
        <f>'2_Cleaned_Data'!C30</f>
        <v>West</v>
      </c>
      <c r="D27" s="5" t="str">
        <f>'2_Cleaned_Data'!D30</f>
        <v>Mall</v>
      </c>
      <c r="E27" s="12">
        <f>'2_Cleaned_Data'!M30</f>
        <v>701641.97</v>
      </c>
      <c r="F27" s="12">
        <f>'5_Multiple_Regression'!$B$324+'5_Multiple_Regression'!$B$325*'2_Cleaned_Data'!E30+'5_Multiple_Regression'!$B$326*'2_Cleaned_Data'!F30+'5_Multiple_Regression'!$B$327*'2_Cleaned_Data'!G30+'5_Multiple_Regression'!$B$328*'2_Cleaned_Data'!I30+'5_Multiple_Regression'!$B$329*IF('2_Cleaned_Data'!D30="Airport",1,0)+'5_Multiple_Regression'!$B$330*IF('2_Cleaned_Data'!D30="High Street",1,0)+'5_Multiple_Regression'!$B$331*IF('2_Cleaned_Data'!D30="Mall",1,0)</f>
        <v>699081.66619823163</v>
      </c>
      <c r="G27" s="12">
        <f>E27-F27</f>
        <v>2560.303801768343</v>
      </c>
      <c r="H27" s="13">
        <f>G27/E27*100</f>
        <v>0.36490174636621908</v>
      </c>
    </row>
    <row r="28" spans="1:8" x14ac:dyDescent="0.45">
      <c r="A28" s="5" t="str">
        <f>'2_Cleaned_Data'!A29</f>
        <v>STR-1007</v>
      </c>
      <c r="B28" s="18">
        <f>'2_Cleaned_Data'!B29</f>
        <v>45717</v>
      </c>
      <c r="C28" s="5" t="str">
        <f>'2_Cleaned_Data'!C29</f>
        <v>West</v>
      </c>
      <c r="D28" s="5" t="str">
        <f>'2_Cleaned_Data'!D29</f>
        <v>Mall</v>
      </c>
      <c r="E28" s="12">
        <f>'2_Cleaned_Data'!M29</f>
        <v>783672.82</v>
      </c>
      <c r="F28" s="12">
        <f>'5_Multiple_Regression'!$B$324+'5_Multiple_Regression'!$B$325*'2_Cleaned_Data'!E29+'5_Multiple_Regression'!$B$326*'2_Cleaned_Data'!F29+'5_Multiple_Regression'!$B$327*'2_Cleaned_Data'!G29+'5_Multiple_Regression'!$B$328*'2_Cleaned_Data'!I29+'5_Multiple_Regression'!$B$329*IF('2_Cleaned_Data'!D29="Airport",1,0)+'5_Multiple_Regression'!$B$330*IF('2_Cleaned_Data'!D29="High Street",1,0)+'5_Multiple_Regression'!$B$331*IF('2_Cleaned_Data'!D29="Mall",1,0)</f>
        <v>791583.94868663419</v>
      </c>
      <c r="G28" s="12">
        <f>E28-F28</f>
        <v>-7911.1286866342416</v>
      </c>
      <c r="H28" s="13">
        <f>G28/E28*100</f>
        <v>-1.0094938199635715</v>
      </c>
    </row>
    <row r="29" spans="1:8" x14ac:dyDescent="0.45">
      <c r="A29" s="5" t="str">
        <f>'2_Cleaned_Data'!A27</f>
        <v>STR-1007</v>
      </c>
      <c r="B29" s="18">
        <f>'2_Cleaned_Data'!B27</f>
        <v>45658</v>
      </c>
      <c r="C29" s="5" t="str">
        <f>'2_Cleaned_Data'!C27</f>
        <v>West</v>
      </c>
      <c r="D29" s="5" t="str">
        <f>'2_Cleaned_Data'!D27</f>
        <v>Mall</v>
      </c>
      <c r="E29" s="12">
        <f>'2_Cleaned_Data'!M27</f>
        <v>811771.14</v>
      </c>
      <c r="F29" s="12">
        <f>'5_Multiple_Regression'!$B$324+'5_Multiple_Regression'!$B$325*'2_Cleaned_Data'!E27+'5_Multiple_Regression'!$B$326*'2_Cleaned_Data'!F27+'5_Multiple_Regression'!$B$327*'2_Cleaned_Data'!G27+'5_Multiple_Regression'!$B$328*'2_Cleaned_Data'!I27+'5_Multiple_Regression'!$B$329*IF('2_Cleaned_Data'!D27="Airport",1,0)+'5_Multiple_Regression'!$B$330*IF('2_Cleaned_Data'!D27="High Street",1,0)+'5_Multiple_Regression'!$B$331*IF('2_Cleaned_Data'!D27="Mall",1,0)</f>
        <v>835507.0228169621</v>
      </c>
      <c r="G29" s="12">
        <f>E29-F29</f>
        <v>-23735.882816962083</v>
      </c>
      <c r="H29" s="13">
        <f>G29/E29*100</f>
        <v>-2.9239623888282211</v>
      </c>
    </row>
    <row r="30" spans="1:8" x14ac:dyDescent="0.45">
      <c r="A30" s="5" t="str">
        <f>'2_Cleaned_Data'!A28</f>
        <v>STR-1007</v>
      </c>
      <c r="B30" s="18">
        <f>'2_Cleaned_Data'!B28</f>
        <v>45689</v>
      </c>
      <c r="C30" s="5" t="str">
        <f>'2_Cleaned_Data'!C28</f>
        <v>West</v>
      </c>
      <c r="D30" s="5" t="str">
        <f>'2_Cleaned_Data'!D28</f>
        <v>Mall</v>
      </c>
      <c r="E30" s="12">
        <f>'2_Cleaned_Data'!M28</f>
        <v>800451.94</v>
      </c>
      <c r="F30" s="12">
        <f>'5_Multiple_Regression'!$B$324+'5_Multiple_Regression'!$B$325*'2_Cleaned_Data'!E28+'5_Multiple_Regression'!$B$326*'2_Cleaned_Data'!F28+'5_Multiple_Regression'!$B$327*'2_Cleaned_Data'!G28+'5_Multiple_Regression'!$B$328*'2_Cleaned_Data'!I28+'5_Multiple_Regression'!$B$329*IF('2_Cleaned_Data'!D28="Airport",1,0)+'5_Multiple_Regression'!$B$330*IF('2_Cleaned_Data'!D28="High Street",1,0)+'5_Multiple_Regression'!$B$331*IF('2_Cleaned_Data'!D28="Mall",1,0)</f>
        <v>900057.34598440863</v>
      </c>
      <c r="G30" s="12">
        <f>E30-F30</f>
        <v>-99605.405984408688</v>
      </c>
      <c r="H30" s="13">
        <f>G30/E30*100</f>
        <v>-12.443646021322492</v>
      </c>
    </row>
    <row r="31" spans="1:8" x14ac:dyDescent="0.45">
      <c r="A31" s="5" t="str">
        <f>'2_Cleaned_Data'!A32</f>
        <v>STR-1008</v>
      </c>
      <c r="B31" s="18">
        <f>'2_Cleaned_Data'!B32</f>
        <v>45689</v>
      </c>
      <c r="C31" s="5" t="str">
        <f>'2_Cleaned_Data'!C32</f>
        <v>East</v>
      </c>
      <c r="D31" s="5" t="str">
        <f>'2_Cleaned_Data'!D32</f>
        <v>Residential</v>
      </c>
      <c r="E31" s="12">
        <f>'2_Cleaned_Data'!M32</f>
        <v>537383.79</v>
      </c>
      <c r="F31" s="12">
        <f>'5_Multiple_Regression'!$B$324+'5_Multiple_Regression'!$B$325*'2_Cleaned_Data'!E32+'5_Multiple_Regression'!$B$326*'2_Cleaned_Data'!F32+'5_Multiple_Regression'!$B$327*'2_Cleaned_Data'!G32+'5_Multiple_Regression'!$B$328*'2_Cleaned_Data'!I32+'5_Multiple_Regression'!$B$329*IF('2_Cleaned_Data'!D32="Airport",1,0)+'5_Multiple_Regression'!$B$330*IF('2_Cleaned_Data'!D32="High Street",1,0)+'5_Multiple_Regression'!$B$331*IF('2_Cleaned_Data'!D32="Mall",1,0)</f>
        <v>527455.88921792689</v>
      </c>
      <c r="G31" s="12">
        <f>E31-F31</f>
        <v>9927.9007820731495</v>
      </c>
      <c r="H31" s="13">
        <f>G31/E31*100</f>
        <v>1.8474507357345387</v>
      </c>
    </row>
    <row r="32" spans="1:8" x14ac:dyDescent="0.45">
      <c r="A32" s="5" t="str">
        <f>'2_Cleaned_Data'!A33</f>
        <v>STR-1008</v>
      </c>
      <c r="B32" s="18">
        <f>'2_Cleaned_Data'!B33</f>
        <v>45717</v>
      </c>
      <c r="C32" s="5" t="str">
        <f>'2_Cleaned_Data'!C33</f>
        <v>East</v>
      </c>
      <c r="D32" s="5" t="str">
        <f>'2_Cleaned_Data'!D33</f>
        <v>Residential</v>
      </c>
      <c r="E32" s="12">
        <f>'2_Cleaned_Data'!M33</f>
        <v>500173.02</v>
      </c>
      <c r="F32" s="12">
        <f>'5_Multiple_Regression'!$B$324+'5_Multiple_Regression'!$B$325*'2_Cleaned_Data'!E33+'5_Multiple_Regression'!$B$326*'2_Cleaned_Data'!F33+'5_Multiple_Regression'!$B$327*'2_Cleaned_Data'!G33+'5_Multiple_Regression'!$B$328*'2_Cleaned_Data'!I33+'5_Multiple_Regression'!$B$329*IF('2_Cleaned_Data'!D33="Airport",1,0)+'5_Multiple_Regression'!$B$330*IF('2_Cleaned_Data'!D33="High Street",1,0)+'5_Multiple_Regression'!$B$331*IF('2_Cleaned_Data'!D33="Mall",1,0)</f>
        <v>513595.73383692803</v>
      </c>
      <c r="G32" s="12">
        <f>E32-F32</f>
        <v>-13422.713836928015</v>
      </c>
      <c r="H32" s="13">
        <f>G32/E32*100</f>
        <v>-2.6836141295522125</v>
      </c>
    </row>
    <row r="33" spans="1:8" x14ac:dyDescent="0.45">
      <c r="A33" s="5" t="str">
        <f>'2_Cleaned_Data'!A34</f>
        <v>STR-1008</v>
      </c>
      <c r="B33" s="18">
        <f>'2_Cleaned_Data'!B34</f>
        <v>45748</v>
      </c>
      <c r="C33" s="5" t="str">
        <f>'2_Cleaned_Data'!C34</f>
        <v>East</v>
      </c>
      <c r="D33" s="5" t="str">
        <f>'2_Cleaned_Data'!D34</f>
        <v>Residential</v>
      </c>
      <c r="E33" s="12">
        <f>'2_Cleaned_Data'!M34</f>
        <v>427917.38</v>
      </c>
      <c r="F33" s="12">
        <f>'5_Multiple_Regression'!$B$324+'5_Multiple_Regression'!$B$325*'2_Cleaned_Data'!E34+'5_Multiple_Regression'!$B$326*'2_Cleaned_Data'!F34+'5_Multiple_Regression'!$B$327*'2_Cleaned_Data'!G34+'5_Multiple_Regression'!$B$328*'2_Cleaned_Data'!I34+'5_Multiple_Regression'!$B$329*IF('2_Cleaned_Data'!D34="Airport",1,0)+'5_Multiple_Regression'!$B$330*IF('2_Cleaned_Data'!D34="High Street",1,0)+'5_Multiple_Regression'!$B$331*IF('2_Cleaned_Data'!D34="Mall",1,0)</f>
        <v>496829.62363886414</v>
      </c>
      <c r="G33" s="12">
        <f>E33-F33</f>
        <v>-68912.243638864136</v>
      </c>
      <c r="H33" s="13">
        <f>G33/E33*100</f>
        <v>-16.104100197768116</v>
      </c>
    </row>
    <row r="34" spans="1:8" x14ac:dyDescent="0.45">
      <c r="A34" s="5" t="str">
        <f>'2_Cleaned_Data'!A31</f>
        <v>STR-1008</v>
      </c>
      <c r="B34" s="18">
        <f>'2_Cleaned_Data'!B31</f>
        <v>45658</v>
      </c>
      <c r="C34" s="5" t="str">
        <f>'2_Cleaned_Data'!C31</f>
        <v>East</v>
      </c>
      <c r="D34" s="5" t="str">
        <f>'2_Cleaned_Data'!D31</f>
        <v>Residential</v>
      </c>
      <c r="E34" s="12">
        <f>'2_Cleaned_Data'!M31</f>
        <v>511844.41</v>
      </c>
      <c r="F34" s="12">
        <f>'5_Multiple_Regression'!$B$324+'5_Multiple_Regression'!$B$325*'2_Cleaned_Data'!E31+'5_Multiple_Regression'!$B$326*'2_Cleaned_Data'!F31+'5_Multiple_Regression'!$B$327*'2_Cleaned_Data'!G31+'5_Multiple_Regression'!$B$328*'2_Cleaned_Data'!I31+'5_Multiple_Regression'!$B$329*IF('2_Cleaned_Data'!D31="Airport",1,0)+'5_Multiple_Regression'!$B$330*IF('2_Cleaned_Data'!D31="High Street",1,0)+'5_Multiple_Regression'!$B$331*IF('2_Cleaned_Data'!D31="Mall",1,0)</f>
        <v>585319.25565598742</v>
      </c>
      <c r="G34" s="12">
        <f>E34-F34</f>
        <v>-73474.845655987447</v>
      </c>
      <c r="H34" s="13">
        <f>G34/E34*100</f>
        <v>-14.354918061132571</v>
      </c>
    </row>
    <row r="35" spans="1:8" x14ac:dyDescent="0.45">
      <c r="A35" s="5" t="str">
        <f>'2_Cleaned_Data'!A36</f>
        <v>STR-1009</v>
      </c>
      <c r="B35" s="18">
        <f>'2_Cleaned_Data'!B36</f>
        <v>45717</v>
      </c>
      <c r="C35" s="5" t="str">
        <f>'2_Cleaned_Data'!C36</f>
        <v>North</v>
      </c>
      <c r="D35" s="5" t="str">
        <f>'2_Cleaned_Data'!D36</f>
        <v>Residential</v>
      </c>
      <c r="E35" s="12">
        <f>'2_Cleaned_Data'!M36</f>
        <v>798952.17</v>
      </c>
      <c r="F35" s="12">
        <f>'5_Multiple_Regression'!$B$324+'5_Multiple_Regression'!$B$325*'2_Cleaned_Data'!E36+'5_Multiple_Regression'!$B$326*'2_Cleaned_Data'!F36+'5_Multiple_Regression'!$B$327*'2_Cleaned_Data'!G36+'5_Multiple_Regression'!$B$328*'2_Cleaned_Data'!I36+'5_Multiple_Regression'!$B$329*IF('2_Cleaned_Data'!D36="Airport",1,0)+'5_Multiple_Regression'!$B$330*IF('2_Cleaned_Data'!D36="High Street",1,0)+'5_Multiple_Regression'!$B$331*IF('2_Cleaned_Data'!D36="Mall",1,0)</f>
        <v>800190.87772998284</v>
      </c>
      <c r="G35" s="12">
        <f>E35-F35</f>
        <v>-1238.7077299827943</v>
      </c>
      <c r="H35" s="13">
        <f>G35/E35*100</f>
        <v>-0.15504153771593038</v>
      </c>
    </row>
    <row r="36" spans="1:8" x14ac:dyDescent="0.45">
      <c r="A36" s="5" t="str">
        <f>'2_Cleaned_Data'!A37</f>
        <v>STR-1009</v>
      </c>
      <c r="B36" s="18">
        <f>'2_Cleaned_Data'!B37</f>
        <v>45748</v>
      </c>
      <c r="C36" s="5" t="str">
        <f>'2_Cleaned_Data'!C37</f>
        <v>North</v>
      </c>
      <c r="D36" s="5" t="str">
        <f>'2_Cleaned_Data'!D37</f>
        <v>Residential</v>
      </c>
      <c r="E36" s="12">
        <f>'2_Cleaned_Data'!M37</f>
        <v>800979.78</v>
      </c>
      <c r="F36" s="12">
        <f>'5_Multiple_Regression'!$B$324+'5_Multiple_Regression'!$B$325*'2_Cleaned_Data'!E37+'5_Multiple_Regression'!$B$326*'2_Cleaned_Data'!F37+'5_Multiple_Regression'!$B$327*'2_Cleaned_Data'!G37+'5_Multiple_Regression'!$B$328*'2_Cleaned_Data'!I37+'5_Multiple_Regression'!$B$329*IF('2_Cleaned_Data'!D37="Airport",1,0)+'5_Multiple_Regression'!$B$330*IF('2_Cleaned_Data'!D37="High Street",1,0)+'5_Multiple_Regression'!$B$331*IF('2_Cleaned_Data'!D37="Mall",1,0)</f>
        <v>816815.48515656893</v>
      </c>
      <c r="G36" s="12">
        <f>E36-F36</f>
        <v>-15835.705156568903</v>
      </c>
      <c r="H36" s="13">
        <f>G36/E36*100</f>
        <v>-1.977041812037865</v>
      </c>
    </row>
    <row r="37" spans="1:8" x14ac:dyDescent="0.45">
      <c r="A37" s="5" t="str">
        <f>'2_Cleaned_Data'!A35</f>
        <v>STR-1009</v>
      </c>
      <c r="B37" s="18">
        <f>'2_Cleaned_Data'!B35</f>
        <v>45658</v>
      </c>
      <c r="C37" s="5" t="str">
        <f>'2_Cleaned_Data'!C35</f>
        <v>North</v>
      </c>
      <c r="D37" s="5" t="str">
        <f>'2_Cleaned_Data'!D35</f>
        <v>Residential</v>
      </c>
      <c r="E37" s="12">
        <f>'2_Cleaned_Data'!M35</f>
        <v>641865.03</v>
      </c>
      <c r="F37" s="12">
        <f>'5_Multiple_Regression'!$B$324+'5_Multiple_Regression'!$B$325*'2_Cleaned_Data'!E35+'5_Multiple_Regression'!$B$326*'2_Cleaned_Data'!F35+'5_Multiple_Regression'!$B$327*'2_Cleaned_Data'!G35+'5_Multiple_Regression'!$B$328*'2_Cleaned_Data'!I35+'5_Multiple_Regression'!$B$329*IF('2_Cleaned_Data'!D35="Airport",1,0)+'5_Multiple_Regression'!$B$330*IF('2_Cleaned_Data'!D35="High Street",1,0)+'5_Multiple_Regression'!$B$331*IF('2_Cleaned_Data'!D35="Mall",1,0)</f>
        <v>743673.68683792849</v>
      </c>
      <c r="G37" s="12">
        <f>E37-F37</f>
        <v>-101808.65683792846</v>
      </c>
      <c r="H37" s="13">
        <f>G37/E37*100</f>
        <v>-15.861380832342348</v>
      </c>
    </row>
    <row r="38" spans="1:8" x14ac:dyDescent="0.45">
      <c r="A38" s="5" t="str">
        <f>'2_Cleaned_Data'!A38</f>
        <v>STR-1010</v>
      </c>
      <c r="B38" s="18">
        <f>'2_Cleaned_Data'!B38</f>
        <v>45658</v>
      </c>
      <c r="C38" s="5" t="str">
        <f>'2_Cleaned_Data'!C38</f>
        <v>North</v>
      </c>
      <c r="D38" s="5" t="str">
        <f>'2_Cleaned_Data'!D38</f>
        <v>Mall</v>
      </c>
      <c r="E38" s="12">
        <f>'2_Cleaned_Data'!M38</f>
        <v>820593.93</v>
      </c>
      <c r="F38" s="12">
        <f>'5_Multiple_Regression'!$B$324+'5_Multiple_Regression'!$B$325*'2_Cleaned_Data'!E38+'5_Multiple_Regression'!$B$326*'2_Cleaned_Data'!F38+'5_Multiple_Regression'!$B$327*'2_Cleaned_Data'!G38+'5_Multiple_Regression'!$B$328*'2_Cleaned_Data'!I38+'5_Multiple_Regression'!$B$329*IF('2_Cleaned_Data'!D38="Airport",1,0)+'5_Multiple_Regression'!$B$330*IF('2_Cleaned_Data'!D38="High Street",1,0)+'5_Multiple_Regression'!$B$331*IF('2_Cleaned_Data'!D38="Mall",1,0)</f>
        <v>778049.02713872376</v>
      </c>
      <c r="G38" s="12">
        <f>E38-F38</f>
        <v>42544.902861276292</v>
      </c>
      <c r="H38" s="13">
        <f>G38/E38*100</f>
        <v>5.1846475224690352</v>
      </c>
    </row>
    <row r="39" spans="1:8" x14ac:dyDescent="0.45">
      <c r="A39" s="5" t="str">
        <f>'2_Cleaned_Data'!A41</f>
        <v>STR-1010</v>
      </c>
      <c r="B39" s="18">
        <f>'2_Cleaned_Data'!B41</f>
        <v>45748</v>
      </c>
      <c r="C39" s="5" t="str">
        <f>'2_Cleaned_Data'!C41</f>
        <v>North</v>
      </c>
      <c r="D39" s="5" t="str">
        <f>'2_Cleaned_Data'!D41</f>
        <v>Mall</v>
      </c>
      <c r="E39" s="12">
        <f>'2_Cleaned_Data'!M41</f>
        <v>828623.85</v>
      </c>
      <c r="F39" s="12">
        <f>'5_Multiple_Regression'!$B$324+'5_Multiple_Regression'!$B$325*'2_Cleaned_Data'!E41+'5_Multiple_Regression'!$B$326*'2_Cleaned_Data'!F41+'5_Multiple_Regression'!$B$327*'2_Cleaned_Data'!G41+'5_Multiple_Regression'!$B$328*'2_Cleaned_Data'!I41+'5_Multiple_Regression'!$B$329*IF('2_Cleaned_Data'!D41="Airport",1,0)+'5_Multiple_Regression'!$B$330*IF('2_Cleaned_Data'!D41="High Street",1,0)+'5_Multiple_Regression'!$B$331*IF('2_Cleaned_Data'!D41="Mall",1,0)</f>
        <v>834980.79314007843</v>
      </c>
      <c r="G39" s="12">
        <f>E39-F39</f>
        <v>-6356.9431400784524</v>
      </c>
      <c r="H39" s="13">
        <f>G39/E39*100</f>
        <v>-0.7671687388769286</v>
      </c>
    </row>
    <row r="40" spans="1:8" x14ac:dyDescent="0.45">
      <c r="A40" s="5" t="str">
        <f>'2_Cleaned_Data'!A40</f>
        <v>STR-1010</v>
      </c>
      <c r="B40" s="18">
        <f>'2_Cleaned_Data'!B40</f>
        <v>45717</v>
      </c>
      <c r="C40" s="5" t="str">
        <f>'2_Cleaned_Data'!C40</f>
        <v>North</v>
      </c>
      <c r="D40" s="5" t="str">
        <f>'2_Cleaned_Data'!D40</f>
        <v>Mall</v>
      </c>
      <c r="E40" s="12">
        <f>'2_Cleaned_Data'!M40</f>
        <v>736633.4</v>
      </c>
      <c r="F40" s="12">
        <f>'5_Multiple_Regression'!$B$324+'5_Multiple_Regression'!$B$325*'2_Cleaned_Data'!E40+'5_Multiple_Regression'!$B$326*'2_Cleaned_Data'!F40+'5_Multiple_Regression'!$B$327*'2_Cleaned_Data'!G40+'5_Multiple_Regression'!$B$328*'2_Cleaned_Data'!I40+'5_Multiple_Regression'!$B$329*IF('2_Cleaned_Data'!D40="Airport",1,0)+'5_Multiple_Regression'!$B$330*IF('2_Cleaned_Data'!D40="High Street",1,0)+'5_Multiple_Regression'!$B$331*IF('2_Cleaned_Data'!D40="Mall",1,0)</f>
        <v>749966.53772669239</v>
      </c>
      <c r="G40" s="12">
        <f>E40-F40</f>
        <v>-13333.137726692366</v>
      </c>
      <c r="H40" s="13">
        <f>G40/E40*100</f>
        <v>-1.8100099352937791</v>
      </c>
    </row>
    <row r="41" spans="1:8" x14ac:dyDescent="0.45">
      <c r="A41" s="5" t="str">
        <f>'2_Cleaned_Data'!A39</f>
        <v>STR-1010</v>
      </c>
      <c r="B41" s="18">
        <f>'2_Cleaned_Data'!B39</f>
        <v>45689</v>
      </c>
      <c r="C41" s="5" t="str">
        <f>'2_Cleaned_Data'!C39</f>
        <v>North</v>
      </c>
      <c r="D41" s="5" t="str">
        <f>'2_Cleaned_Data'!D39</f>
        <v>Mall</v>
      </c>
      <c r="E41" s="12">
        <f>'2_Cleaned_Data'!M39</f>
        <v>718330.53</v>
      </c>
      <c r="F41" s="12">
        <f>'5_Multiple_Regression'!$B$324+'5_Multiple_Regression'!$B$325*'2_Cleaned_Data'!E39+'5_Multiple_Regression'!$B$326*'2_Cleaned_Data'!F39+'5_Multiple_Regression'!$B$327*'2_Cleaned_Data'!G39+'5_Multiple_Regression'!$B$328*'2_Cleaned_Data'!I39+'5_Multiple_Regression'!$B$329*IF('2_Cleaned_Data'!D39="Airport",1,0)+'5_Multiple_Regression'!$B$330*IF('2_Cleaned_Data'!D39="High Street",1,0)+'5_Multiple_Regression'!$B$331*IF('2_Cleaned_Data'!D39="Mall",1,0)</f>
        <v>763095.50698127272</v>
      </c>
      <c r="G41" s="12">
        <f>E41-F41</f>
        <v>-44764.976981272688</v>
      </c>
      <c r="H41" s="13">
        <f>G41/E41*100</f>
        <v>-6.2318076584149482</v>
      </c>
    </row>
    <row r="42" spans="1:8" x14ac:dyDescent="0.45">
      <c r="A42" s="5" t="str">
        <f>'2_Cleaned_Data'!A44</f>
        <v>STR-1011</v>
      </c>
      <c r="B42" s="18">
        <f>'2_Cleaned_Data'!B44</f>
        <v>45717</v>
      </c>
      <c r="C42" s="5" t="str">
        <f>'2_Cleaned_Data'!C44</f>
        <v>East</v>
      </c>
      <c r="D42" s="5" t="str">
        <f>'2_Cleaned_Data'!D44</f>
        <v>Mall</v>
      </c>
      <c r="E42" s="12">
        <f>'2_Cleaned_Data'!M44</f>
        <v>657429.18000000005</v>
      </c>
      <c r="F42" s="12">
        <f>'5_Multiple_Regression'!$B$324+'5_Multiple_Regression'!$B$325*'2_Cleaned_Data'!E44+'5_Multiple_Regression'!$B$326*'2_Cleaned_Data'!F44+'5_Multiple_Regression'!$B$327*'2_Cleaned_Data'!G44+'5_Multiple_Regression'!$B$328*'2_Cleaned_Data'!I44+'5_Multiple_Regression'!$B$329*IF('2_Cleaned_Data'!D44="Airport",1,0)+'5_Multiple_Regression'!$B$330*IF('2_Cleaned_Data'!D44="High Street",1,0)+'5_Multiple_Regression'!$B$331*IF('2_Cleaned_Data'!D44="Mall",1,0)</f>
        <v>598084.84011575521</v>
      </c>
      <c r="G42" s="12">
        <f>E42-F42</f>
        <v>59344.339884244837</v>
      </c>
      <c r="H42" s="13">
        <f>G42/E42*100</f>
        <v>9.0267273935490397</v>
      </c>
    </row>
    <row r="43" spans="1:8" x14ac:dyDescent="0.45">
      <c r="A43" s="5" t="str">
        <f>'2_Cleaned_Data'!A43</f>
        <v>STR-1011</v>
      </c>
      <c r="B43" s="18">
        <f>'2_Cleaned_Data'!B43</f>
        <v>45689</v>
      </c>
      <c r="C43" s="5" t="str">
        <f>'2_Cleaned_Data'!C43</f>
        <v>East</v>
      </c>
      <c r="D43" s="5" t="str">
        <f>'2_Cleaned_Data'!D43</f>
        <v>Mall</v>
      </c>
      <c r="E43" s="12">
        <f>'2_Cleaned_Data'!M43</f>
        <v>532644.46</v>
      </c>
      <c r="F43" s="12">
        <f>'5_Multiple_Regression'!$B$324+'5_Multiple_Regression'!$B$325*'2_Cleaned_Data'!E43+'5_Multiple_Regression'!$B$326*'2_Cleaned_Data'!F43+'5_Multiple_Regression'!$B$327*'2_Cleaned_Data'!G43+'5_Multiple_Regression'!$B$328*'2_Cleaned_Data'!I43+'5_Multiple_Regression'!$B$329*IF('2_Cleaned_Data'!D43="Airport",1,0)+'5_Multiple_Regression'!$B$330*IF('2_Cleaned_Data'!D43="High Street",1,0)+'5_Multiple_Regression'!$B$331*IF('2_Cleaned_Data'!D43="Mall",1,0)</f>
        <v>531161.68490750156</v>
      </c>
      <c r="G43" s="12">
        <f>E43-F43</f>
        <v>1482.7750924983993</v>
      </c>
      <c r="H43" s="13">
        <f>G43/E43*100</f>
        <v>0.27837989575605449</v>
      </c>
    </row>
    <row r="44" spans="1:8" x14ac:dyDescent="0.45">
      <c r="A44" s="5" t="str">
        <f>'2_Cleaned_Data'!A42</f>
        <v>STR-1011</v>
      </c>
      <c r="B44" s="18">
        <f>'2_Cleaned_Data'!B42</f>
        <v>45658</v>
      </c>
      <c r="C44" s="5" t="str">
        <f>'2_Cleaned_Data'!C42</f>
        <v>East</v>
      </c>
      <c r="D44" s="5" t="str">
        <f>'2_Cleaned_Data'!D42</f>
        <v>Mall</v>
      </c>
      <c r="E44" s="12">
        <f>'2_Cleaned_Data'!M42</f>
        <v>592195.85</v>
      </c>
      <c r="F44" s="12">
        <f>'5_Multiple_Regression'!$B$324+'5_Multiple_Regression'!$B$325*'2_Cleaned_Data'!E42+'5_Multiple_Regression'!$B$326*'2_Cleaned_Data'!F42+'5_Multiple_Regression'!$B$327*'2_Cleaned_Data'!G42+'5_Multiple_Regression'!$B$328*'2_Cleaned_Data'!I42+'5_Multiple_Regression'!$B$329*IF('2_Cleaned_Data'!D42="Airport",1,0)+'5_Multiple_Regression'!$B$330*IF('2_Cleaned_Data'!D42="High Street",1,0)+'5_Multiple_Regression'!$B$331*IF('2_Cleaned_Data'!D42="Mall",1,0)</f>
        <v>591047.13291479531</v>
      </c>
      <c r="G44" s="12">
        <f>E44-F44</f>
        <v>1148.7170852046693</v>
      </c>
      <c r="H44" s="13">
        <f>G44/E44*100</f>
        <v>0.19397587558316548</v>
      </c>
    </row>
    <row r="45" spans="1:8" x14ac:dyDescent="0.45">
      <c r="A45" s="5" t="str">
        <f>'2_Cleaned_Data'!A45</f>
        <v>STR-1011</v>
      </c>
      <c r="B45" s="18">
        <f>'2_Cleaned_Data'!B45</f>
        <v>45748</v>
      </c>
      <c r="C45" s="5" t="str">
        <f>'2_Cleaned_Data'!C45</f>
        <v>East</v>
      </c>
      <c r="D45" s="5" t="str">
        <f>'2_Cleaned_Data'!D45</f>
        <v>Mall</v>
      </c>
      <c r="E45" s="12">
        <f>'2_Cleaned_Data'!M45</f>
        <v>605178</v>
      </c>
      <c r="F45" s="12">
        <f>'5_Multiple_Regression'!$B$324+'5_Multiple_Regression'!$B$325*'2_Cleaned_Data'!E45+'5_Multiple_Regression'!$B$326*'2_Cleaned_Data'!F45+'5_Multiple_Regression'!$B$327*'2_Cleaned_Data'!G45+'5_Multiple_Regression'!$B$328*'2_Cleaned_Data'!I45+'5_Multiple_Regression'!$B$329*IF('2_Cleaned_Data'!D45="Airport",1,0)+'5_Multiple_Regression'!$B$330*IF('2_Cleaned_Data'!D45="High Street",1,0)+'5_Multiple_Regression'!$B$331*IF('2_Cleaned_Data'!D45="Mall",1,0)</f>
        <v>608554.16507824184</v>
      </c>
      <c r="G45" s="12">
        <f>E45-F45</f>
        <v>-3376.1650782418437</v>
      </c>
      <c r="H45" s="13">
        <f>G45/E45*100</f>
        <v>-0.55787967808509953</v>
      </c>
    </row>
    <row r="46" spans="1:8" x14ac:dyDescent="0.45">
      <c r="A46" s="5" t="str">
        <f>'2_Cleaned_Data'!A48</f>
        <v>STR-1012</v>
      </c>
      <c r="B46" s="18">
        <f>'2_Cleaned_Data'!B48</f>
        <v>45717</v>
      </c>
      <c r="C46" s="5" t="str">
        <f>'2_Cleaned_Data'!C48</f>
        <v>West</v>
      </c>
      <c r="D46" s="5" t="str">
        <f>'2_Cleaned_Data'!D48</f>
        <v>Residential</v>
      </c>
      <c r="E46" s="12">
        <f>'2_Cleaned_Data'!M48</f>
        <v>614800.09</v>
      </c>
      <c r="F46" s="12">
        <f>'5_Multiple_Regression'!$B$324+'5_Multiple_Regression'!$B$325*'2_Cleaned_Data'!E48+'5_Multiple_Regression'!$B$326*'2_Cleaned_Data'!F48+'5_Multiple_Regression'!$B$327*'2_Cleaned_Data'!G48+'5_Multiple_Regression'!$B$328*'2_Cleaned_Data'!I48+'5_Multiple_Regression'!$B$329*IF('2_Cleaned_Data'!D48="Airport",1,0)+'5_Multiple_Regression'!$B$330*IF('2_Cleaned_Data'!D48="High Street",1,0)+'5_Multiple_Regression'!$B$331*IF('2_Cleaned_Data'!D48="Mall",1,0)</f>
        <v>574835.56032868603</v>
      </c>
      <c r="G46" s="12">
        <f>E46-F46</f>
        <v>39964.52967131394</v>
      </c>
      <c r="H46" s="13">
        <f>G46/E46*100</f>
        <v>6.5004105108888224</v>
      </c>
    </row>
    <row r="47" spans="1:8" x14ac:dyDescent="0.45">
      <c r="A47" s="5" t="str">
        <f>'2_Cleaned_Data'!A49</f>
        <v>STR-1012</v>
      </c>
      <c r="B47" s="18">
        <f>'2_Cleaned_Data'!B49</f>
        <v>45748</v>
      </c>
      <c r="C47" s="5" t="str">
        <f>'2_Cleaned_Data'!C49</f>
        <v>West</v>
      </c>
      <c r="D47" s="5" t="str">
        <f>'2_Cleaned_Data'!D49</f>
        <v>Residential</v>
      </c>
      <c r="E47" s="12">
        <f>'2_Cleaned_Data'!M49</f>
        <v>585365.73</v>
      </c>
      <c r="F47" s="12">
        <f>'5_Multiple_Regression'!$B$324+'5_Multiple_Regression'!$B$325*'2_Cleaned_Data'!E49+'5_Multiple_Regression'!$B$326*'2_Cleaned_Data'!F49+'5_Multiple_Regression'!$B$327*'2_Cleaned_Data'!G49+'5_Multiple_Regression'!$B$328*'2_Cleaned_Data'!I49+'5_Multiple_Regression'!$B$329*IF('2_Cleaned_Data'!D49="Airport",1,0)+'5_Multiple_Regression'!$B$330*IF('2_Cleaned_Data'!D49="High Street",1,0)+'5_Multiple_Regression'!$B$331*IF('2_Cleaned_Data'!D49="Mall",1,0)</f>
        <v>564236.82828119781</v>
      </c>
      <c r="G47" s="12">
        <f>E47-F47</f>
        <v>21128.901718802168</v>
      </c>
      <c r="H47" s="13">
        <f>G47/E47*100</f>
        <v>3.6095214728067813</v>
      </c>
    </row>
    <row r="48" spans="1:8" x14ac:dyDescent="0.45">
      <c r="A48" s="5" t="str">
        <f>'2_Cleaned_Data'!A47</f>
        <v>STR-1012</v>
      </c>
      <c r="B48" s="18">
        <f>'2_Cleaned_Data'!B47</f>
        <v>45689</v>
      </c>
      <c r="C48" s="5" t="str">
        <f>'2_Cleaned_Data'!C47</f>
        <v>West</v>
      </c>
      <c r="D48" s="5" t="str">
        <f>'2_Cleaned_Data'!D47</f>
        <v>Residential</v>
      </c>
      <c r="E48" s="12">
        <f>'2_Cleaned_Data'!M47</f>
        <v>599603.4</v>
      </c>
      <c r="F48" s="12">
        <f>'5_Multiple_Regression'!$B$324+'5_Multiple_Regression'!$B$325*'2_Cleaned_Data'!E47+'5_Multiple_Regression'!$B$326*'2_Cleaned_Data'!F47+'5_Multiple_Regression'!$B$327*'2_Cleaned_Data'!G47+'5_Multiple_Regression'!$B$328*'2_Cleaned_Data'!I47+'5_Multiple_Regression'!$B$329*IF('2_Cleaned_Data'!D47="Airport",1,0)+'5_Multiple_Regression'!$B$330*IF('2_Cleaned_Data'!D47="High Street",1,0)+'5_Multiple_Regression'!$B$331*IF('2_Cleaned_Data'!D47="Mall",1,0)</f>
        <v>627879.16029933072</v>
      </c>
      <c r="G48" s="12">
        <f>E48-F48</f>
        <v>-28275.760299330694</v>
      </c>
      <c r="H48" s="13">
        <f>G48/E48*100</f>
        <v>-4.7157438232222653</v>
      </c>
    </row>
    <row r="49" spans="1:8" x14ac:dyDescent="0.45">
      <c r="A49" s="5" t="str">
        <f>'2_Cleaned_Data'!A46</f>
        <v>STR-1012</v>
      </c>
      <c r="B49" s="18">
        <f>'2_Cleaned_Data'!B46</f>
        <v>45658</v>
      </c>
      <c r="C49" s="5" t="str">
        <f>'2_Cleaned_Data'!C46</f>
        <v>West</v>
      </c>
      <c r="D49" s="5" t="str">
        <f>'2_Cleaned_Data'!D46</f>
        <v>Residential</v>
      </c>
      <c r="E49" s="12">
        <f>'2_Cleaned_Data'!M46</f>
        <v>595467.6</v>
      </c>
      <c r="F49" s="12">
        <f>'5_Multiple_Regression'!$B$324+'5_Multiple_Regression'!$B$325*'2_Cleaned_Data'!E46+'5_Multiple_Regression'!$B$326*'2_Cleaned_Data'!F46+'5_Multiple_Regression'!$B$327*'2_Cleaned_Data'!G46+'5_Multiple_Regression'!$B$328*'2_Cleaned_Data'!I46+'5_Multiple_Regression'!$B$329*IF('2_Cleaned_Data'!D46="Airport",1,0)+'5_Multiple_Regression'!$B$330*IF('2_Cleaned_Data'!D46="High Street",1,0)+'5_Multiple_Regression'!$B$331*IF('2_Cleaned_Data'!D46="Mall",1,0)</f>
        <v>718262.01528030937</v>
      </c>
      <c r="G49" s="12">
        <f>E49-F49</f>
        <v>-122794.41528030939</v>
      </c>
      <c r="H49" s="13">
        <f>G49/E49*100</f>
        <v>-20.621510772426475</v>
      </c>
    </row>
    <row r="50" spans="1:8" x14ac:dyDescent="0.45">
      <c r="A50" s="5" t="str">
        <f>'2_Cleaned_Data'!A53</f>
        <v>STR-1013</v>
      </c>
      <c r="B50" s="18">
        <f>'2_Cleaned_Data'!B53</f>
        <v>45748</v>
      </c>
      <c r="C50" s="5" t="str">
        <f>'2_Cleaned_Data'!C53</f>
        <v>North</v>
      </c>
      <c r="D50" s="5" t="str">
        <f>'2_Cleaned_Data'!D53</f>
        <v>Mall</v>
      </c>
      <c r="E50" s="12">
        <f>'2_Cleaned_Data'!M53</f>
        <v>773815.14</v>
      </c>
      <c r="F50" s="12">
        <f>'5_Multiple_Regression'!$B$324+'5_Multiple_Regression'!$B$325*'2_Cleaned_Data'!E53+'5_Multiple_Regression'!$B$326*'2_Cleaned_Data'!F53+'5_Multiple_Regression'!$B$327*'2_Cleaned_Data'!G53+'5_Multiple_Regression'!$B$328*'2_Cleaned_Data'!I53+'5_Multiple_Regression'!$B$329*IF('2_Cleaned_Data'!D53="Airport",1,0)+'5_Multiple_Regression'!$B$330*IF('2_Cleaned_Data'!D53="High Street",1,0)+'5_Multiple_Regression'!$B$331*IF('2_Cleaned_Data'!D53="Mall",1,0)</f>
        <v>743255.96750289341</v>
      </c>
      <c r="G50" s="12">
        <f>E50-F50</f>
        <v>30559.1724971066</v>
      </c>
      <c r="H50" s="13">
        <f>G50/E50*100</f>
        <v>3.9491567064850392</v>
      </c>
    </row>
    <row r="51" spans="1:8" x14ac:dyDescent="0.45">
      <c r="A51" s="5" t="str">
        <f>'2_Cleaned_Data'!A51</f>
        <v>STR-1013</v>
      </c>
      <c r="B51" s="18">
        <f>'2_Cleaned_Data'!B51</f>
        <v>45689</v>
      </c>
      <c r="C51" s="5" t="str">
        <f>'2_Cleaned_Data'!C51</f>
        <v>North</v>
      </c>
      <c r="D51" s="5" t="str">
        <f>'2_Cleaned_Data'!D51</f>
        <v>Mall</v>
      </c>
      <c r="E51" s="12">
        <f>'2_Cleaned_Data'!M51</f>
        <v>603297.56999999995</v>
      </c>
      <c r="F51" s="12">
        <f>'5_Multiple_Regression'!$B$324+'5_Multiple_Regression'!$B$325*'2_Cleaned_Data'!E51+'5_Multiple_Regression'!$B$326*'2_Cleaned_Data'!F51+'5_Multiple_Regression'!$B$327*'2_Cleaned_Data'!G51+'5_Multiple_Regression'!$B$328*'2_Cleaned_Data'!I51+'5_Multiple_Regression'!$B$329*IF('2_Cleaned_Data'!D51="Airport",1,0)+'5_Multiple_Regression'!$B$330*IF('2_Cleaned_Data'!D51="High Street",1,0)+'5_Multiple_Regression'!$B$331*IF('2_Cleaned_Data'!D51="Mall",1,0)</f>
        <v>597252.55909291189</v>
      </c>
      <c r="G51" s="12">
        <f>E51-F51</f>
        <v>6045.0109070880571</v>
      </c>
      <c r="H51" s="13">
        <f>G51/E51*100</f>
        <v>1.0019949039556146</v>
      </c>
    </row>
    <row r="52" spans="1:8" x14ac:dyDescent="0.45">
      <c r="A52" s="5" t="str">
        <f>'2_Cleaned_Data'!A52</f>
        <v>STR-1013</v>
      </c>
      <c r="B52" s="18">
        <f>'2_Cleaned_Data'!B52</f>
        <v>45717</v>
      </c>
      <c r="C52" s="5" t="str">
        <f>'2_Cleaned_Data'!C52</f>
        <v>North</v>
      </c>
      <c r="D52" s="5" t="str">
        <f>'2_Cleaned_Data'!D52</f>
        <v>Mall</v>
      </c>
      <c r="E52" s="12">
        <f>'2_Cleaned_Data'!M52</f>
        <v>625672.86</v>
      </c>
      <c r="F52" s="12">
        <f>'5_Multiple_Regression'!$B$324+'5_Multiple_Regression'!$B$325*'2_Cleaned_Data'!E52+'5_Multiple_Regression'!$B$326*'2_Cleaned_Data'!F52+'5_Multiple_Regression'!$B$327*'2_Cleaned_Data'!G52+'5_Multiple_Regression'!$B$328*'2_Cleaned_Data'!I52+'5_Multiple_Regression'!$B$329*IF('2_Cleaned_Data'!D52="Airport",1,0)+'5_Multiple_Regression'!$B$330*IF('2_Cleaned_Data'!D52="High Street",1,0)+'5_Multiple_Regression'!$B$331*IF('2_Cleaned_Data'!D52="Mall",1,0)</f>
        <v>619644.97603527387</v>
      </c>
      <c r="G52" s="12">
        <f>E52-F52</f>
        <v>6027.8839647261193</v>
      </c>
      <c r="H52" s="13">
        <f>G52/E52*100</f>
        <v>0.96342423494701679</v>
      </c>
    </row>
    <row r="53" spans="1:8" x14ac:dyDescent="0.45">
      <c r="A53" s="5" t="str">
        <f>'2_Cleaned_Data'!A50</f>
        <v>STR-1013</v>
      </c>
      <c r="B53" s="18">
        <f>'2_Cleaned_Data'!B50</f>
        <v>45658</v>
      </c>
      <c r="C53" s="5" t="str">
        <f>'2_Cleaned_Data'!C50</f>
        <v>North</v>
      </c>
      <c r="D53" s="5" t="str">
        <f>'2_Cleaned_Data'!D50</f>
        <v>Mall</v>
      </c>
      <c r="E53" s="12">
        <f>'2_Cleaned_Data'!M50</f>
        <v>622811.74</v>
      </c>
      <c r="F53" s="12">
        <f>'5_Multiple_Regression'!$B$324+'5_Multiple_Regression'!$B$325*'2_Cleaned_Data'!E50+'5_Multiple_Regression'!$B$326*'2_Cleaned_Data'!F50+'5_Multiple_Regression'!$B$327*'2_Cleaned_Data'!G50+'5_Multiple_Regression'!$B$328*'2_Cleaned_Data'!I50+'5_Multiple_Regression'!$B$329*IF('2_Cleaned_Data'!D50="Airport",1,0)+'5_Multiple_Regression'!$B$330*IF('2_Cleaned_Data'!D50="High Street",1,0)+'5_Multiple_Regression'!$B$331*IF('2_Cleaned_Data'!D50="Mall",1,0)</f>
        <v>658493.76564467512</v>
      </c>
      <c r="G53" s="12">
        <f>E53-F53</f>
        <v>-35682.02564467513</v>
      </c>
      <c r="H53" s="13">
        <f>G53/E53*100</f>
        <v>-5.729183211073563</v>
      </c>
    </row>
    <row r="54" spans="1:8" x14ac:dyDescent="0.45">
      <c r="A54" s="5" t="str">
        <f>'2_Cleaned_Data'!A56</f>
        <v>STR-1014</v>
      </c>
      <c r="B54" s="18">
        <f>'2_Cleaned_Data'!B56</f>
        <v>45717</v>
      </c>
      <c r="C54" s="5" t="str">
        <f>'2_Cleaned_Data'!C56</f>
        <v>West</v>
      </c>
      <c r="D54" s="5" t="str">
        <f>'2_Cleaned_Data'!D56</f>
        <v>High Street</v>
      </c>
      <c r="E54" s="12">
        <f>'2_Cleaned_Data'!M56</f>
        <v>720852.5</v>
      </c>
      <c r="F54" s="12">
        <f>'5_Multiple_Regression'!$B$324+'5_Multiple_Regression'!$B$325*'2_Cleaned_Data'!E56+'5_Multiple_Regression'!$B$326*'2_Cleaned_Data'!F56+'5_Multiple_Regression'!$B$327*'2_Cleaned_Data'!G56+'5_Multiple_Regression'!$B$328*'2_Cleaned_Data'!I56+'5_Multiple_Regression'!$B$329*IF('2_Cleaned_Data'!D56="Airport",1,0)+'5_Multiple_Regression'!$B$330*IF('2_Cleaned_Data'!D56="High Street",1,0)+'5_Multiple_Regression'!$B$331*IF('2_Cleaned_Data'!D56="Mall",1,0)</f>
        <v>675099.64692927094</v>
      </c>
      <c r="G54" s="12">
        <f>E54-F54</f>
        <v>45752.853070729063</v>
      </c>
      <c r="H54" s="13">
        <f>G54/E54*100</f>
        <v>6.347047845534151</v>
      </c>
    </row>
    <row r="55" spans="1:8" x14ac:dyDescent="0.45">
      <c r="A55" s="5" t="str">
        <f>'2_Cleaned_Data'!A55</f>
        <v>STR-1014</v>
      </c>
      <c r="B55" s="18">
        <f>'2_Cleaned_Data'!B55</f>
        <v>45689</v>
      </c>
      <c r="C55" s="5" t="str">
        <f>'2_Cleaned_Data'!C55</f>
        <v>West</v>
      </c>
      <c r="D55" s="5" t="str">
        <f>'2_Cleaned_Data'!D55</f>
        <v>High Street</v>
      </c>
      <c r="E55" s="12">
        <f>'2_Cleaned_Data'!M55</f>
        <v>746677.75</v>
      </c>
      <c r="F55" s="12">
        <f>'5_Multiple_Regression'!$B$324+'5_Multiple_Regression'!$B$325*'2_Cleaned_Data'!E55+'5_Multiple_Regression'!$B$326*'2_Cleaned_Data'!F55+'5_Multiple_Regression'!$B$327*'2_Cleaned_Data'!G55+'5_Multiple_Regression'!$B$328*'2_Cleaned_Data'!I55+'5_Multiple_Regression'!$B$329*IF('2_Cleaned_Data'!D55="Airport",1,0)+'5_Multiple_Regression'!$B$330*IF('2_Cleaned_Data'!D55="High Street",1,0)+'5_Multiple_Regression'!$B$331*IF('2_Cleaned_Data'!D55="Mall",1,0)</f>
        <v>702889.25299004896</v>
      </c>
      <c r="G55" s="12">
        <f>E55-F55</f>
        <v>43788.497009951039</v>
      </c>
      <c r="H55" s="13">
        <f>G55/E55*100</f>
        <v>5.8644437992093703</v>
      </c>
    </row>
    <row r="56" spans="1:8" x14ac:dyDescent="0.45">
      <c r="A56" s="5" t="str">
        <f>'2_Cleaned_Data'!A57</f>
        <v>STR-1014</v>
      </c>
      <c r="B56" s="18">
        <f>'2_Cleaned_Data'!B57</f>
        <v>45748</v>
      </c>
      <c r="C56" s="5" t="str">
        <f>'2_Cleaned_Data'!C57</f>
        <v>West</v>
      </c>
      <c r="D56" s="5" t="str">
        <f>'2_Cleaned_Data'!D57</f>
        <v>High Street</v>
      </c>
      <c r="E56" s="12">
        <f>'2_Cleaned_Data'!M57</f>
        <v>487464.91</v>
      </c>
      <c r="F56" s="12">
        <f>'5_Multiple_Regression'!$B$324+'5_Multiple_Regression'!$B$325*'2_Cleaned_Data'!E57+'5_Multiple_Regression'!$B$326*'2_Cleaned_Data'!F57+'5_Multiple_Regression'!$B$327*'2_Cleaned_Data'!G57+'5_Multiple_Regression'!$B$328*'2_Cleaned_Data'!I57+'5_Multiple_Regression'!$B$329*IF('2_Cleaned_Data'!D57="Airport",1,0)+'5_Multiple_Regression'!$B$330*IF('2_Cleaned_Data'!D57="High Street",1,0)+'5_Multiple_Regression'!$B$331*IF('2_Cleaned_Data'!D57="Mall",1,0)</f>
        <v>529002.04539008299</v>
      </c>
      <c r="G56" s="12">
        <f>E56-F56</f>
        <v>-41537.135390083014</v>
      </c>
      <c r="H56" s="13">
        <f>G56/E56*100</f>
        <v>-8.5210513696427945</v>
      </c>
    </row>
    <row r="57" spans="1:8" x14ac:dyDescent="0.45">
      <c r="A57" s="5" t="str">
        <f>'2_Cleaned_Data'!A54</f>
        <v>STR-1014</v>
      </c>
      <c r="B57" s="18">
        <f>'2_Cleaned_Data'!B54</f>
        <v>45658</v>
      </c>
      <c r="C57" s="5" t="str">
        <f>'2_Cleaned_Data'!C54</f>
        <v>West</v>
      </c>
      <c r="D57" s="5" t="str">
        <f>'2_Cleaned_Data'!D54</f>
        <v>High Street</v>
      </c>
      <c r="E57" s="12">
        <f>'2_Cleaned_Data'!M54</f>
        <v>463534.25</v>
      </c>
      <c r="F57" s="12">
        <f>'5_Multiple_Regression'!$B$324+'5_Multiple_Regression'!$B$325*'2_Cleaned_Data'!E54+'5_Multiple_Regression'!$B$326*'2_Cleaned_Data'!F54+'5_Multiple_Regression'!$B$327*'2_Cleaned_Data'!G54+'5_Multiple_Regression'!$B$328*'2_Cleaned_Data'!I54+'5_Multiple_Regression'!$B$329*IF('2_Cleaned_Data'!D54="Airport",1,0)+'5_Multiple_Regression'!$B$330*IF('2_Cleaned_Data'!D54="High Street",1,0)+'5_Multiple_Regression'!$B$331*IF('2_Cleaned_Data'!D54="Mall",1,0)</f>
        <v>557761.75134332268</v>
      </c>
      <c r="G57" s="12">
        <f>E57-F57</f>
        <v>-94227.501343322685</v>
      </c>
      <c r="H57" s="13">
        <f>G57/E57*100</f>
        <v>-20.328055875768118</v>
      </c>
    </row>
    <row r="58" spans="1:8" x14ac:dyDescent="0.45">
      <c r="A58" s="5" t="str">
        <f>'2_Cleaned_Data'!A58</f>
        <v>STR-1015</v>
      </c>
      <c r="B58" s="18">
        <f>'2_Cleaned_Data'!B58</f>
        <v>45658</v>
      </c>
      <c r="C58" s="5" t="str">
        <f>'2_Cleaned_Data'!C58</f>
        <v>East</v>
      </c>
      <c r="D58" s="5" t="str">
        <f>'2_Cleaned_Data'!D58</f>
        <v>Airport</v>
      </c>
      <c r="E58" s="12">
        <f>'2_Cleaned_Data'!M58</f>
        <v>518049.26</v>
      </c>
      <c r="F58" s="12">
        <f>'5_Multiple_Regression'!$B$324+'5_Multiple_Regression'!$B$325*'2_Cleaned_Data'!E58+'5_Multiple_Regression'!$B$326*'2_Cleaned_Data'!F58+'5_Multiple_Regression'!$B$327*'2_Cleaned_Data'!G58+'5_Multiple_Regression'!$B$328*'2_Cleaned_Data'!I58+'5_Multiple_Regression'!$B$329*IF('2_Cleaned_Data'!D58="Airport",1,0)+'5_Multiple_Regression'!$B$330*IF('2_Cleaned_Data'!D58="High Street",1,0)+'5_Multiple_Regression'!$B$331*IF('2_Cleaned_Data'!D58="Mall",1,0)</f>
        <v>544532.19252380321</v>
      </c>
      <c r="G58" s="12">
        <f>E58-F58</f>
        <v>-26482.932523803203</v>
      </c>
      <c r="H58" s="13">
        <f>G58/E58*100</f>
        <v>-5.1120490981500879</v>
      </c>
    </row>
    <row r="59" spans="1:8" x14ac:dyDescent="0.45">
      <c r="A59" s="5" t="str">
        <f>'2_Cleaned_Data'!A59</f>
        <v>STR-1015</v>
      </c>
      <c r="B59" s="18">
        <f>'2_Cleaned_Data'!B59</f>
        <v>45689</v>
      </c>
      <c r="C59" s="5" t="str">
        <f>'2_Cleaned_Data'!C59</f>
        <v>East</v>
      </c>
      <c r="D59" s="5" t="str">
        <f>'2_Cleaned_Data'!D59</f>
        <v>Airport</v>
      </c>
      <c r="E59" s="12">
        <f>'2_Cleaned_Data'!M59</f>
        <v>500298.48</v>
      </c>
      <c r="F59" s="12">
        <f>'5_Multiple_Regression'!$B$324+'5_Multiple_Regression'!$B$325*'2_Cleaned_Data'!E59+'5_Multiple_Regression'!$B$326*'2_Cleaned_Data'!F59+'5_Multiple_Regression'!$B$327*'2_Cleaned_Data'!G59+'5_Multiple_Regression'!$B$328*'2_Cleaned_Data'!I59+'5_Multiple_Regression'!$B$329*IF('2_Cleaned_Data'!D59="Airport",1,0)+'5_Multiple_Regression'!$B$330*IF('2_Cleaned_Data'!D59="High Street",1,0)+'5_Multiple_Regression'!$B$331*IF('2_Cleaned_Data'!D59="Mall",1,0)</f>
        <v>540455.24573573109</v>
      </c>
      <c r="G59" s="12">
        <f>E59-F59</f>
        <v>-40156.765735731111</v>
      </c>
      <c r="H59" s="13">
        <f>G59/E59*100</f>
        <v>-8.0265616109269633</v>
      </c>
    </row>
    <row r="60" spans="1:8" x14ac:dyDescent="0.45">
      <c r="A60" s="5" t="str">
        <f>'2_Cleaned_Data'!A60</f>
        <v>STR-1015</v>
      </c>
      <c r="B60" s="18">
        <f>'2_Cleaned_Data'!B60</f>
        <v>45717</v>
      </c>
      <c r="C60" s="5" t="str">
        <f>'2_Cleaned_Data'!C60</f>
        <v>East</v>
      </c>
      <c r="D60" s="5" t="str">
        <f>'2_Cleaned_Data'!D60</f>
        <v>Airport</v>
      </c>
      <c r="E60" s="12">
        <f>'2_Cleaned_Data'!M60</f>
        <v>617291.15</v>
      </c>
      <c r="F60" s="12">
        <f>'5_Multiple_Regression'!$B$324+'5_Multiple_Regression'!$B$325*'2_Cleaned_Data'!E60+'5_Multiple_Regression'!$B$326*'2_Cleaned_Data'!F60+'5_Multiple_Regression'!$B$327*'2_Cleaned_Data'!G60+'5_Multiple_Regression'!$B$328*'2_Cleaned_Data'!I60+'5_Multiple_Regression'!$B$329*IF('2_Cleaned_Data'!D60="Airport",1,0)+'5_Multiple_Regression'!$B$330*IF('2_Cleaned_Data'!D60="High Street",1,0)+'5_Multiple_Regression'!$B$331*IF('2_Cleaned_Data'!D60="Mall",1,0)</f>
        <v>686316.45948599116</v>
      </c>
      <c r="G60" s="12">
        <f>E60-F60</f>
        <v>-69025.309485991136</v>
      </c>
      <c r="H60" s="13">
        <f>G60/E60*100</f>
        <v>-11.181969721417703</v>
      </c>
    </row>
    <row r="61" spans="1:8" x14ac:dyDescent="0.45">
      <c r="A61" s="5" t="str">
        <f>'2_Cleaned_Data'!A61</f>
        <v>STR-1015</v>
      </c>
      <c r="B61" s="18">
        <f>'2_Cleaned_Data'!B61</f>
        <v>45748</v>
      </c>
      <c r="C61" s="5" t="str">
        <f>'2_Cleaned_Data'!C61</f>
        <v>East</v>
      </c>
      <c r="D61" s="5" t="str">
        <f>'2_Cleaned_Data'!D61</f>
        <v>Airport</v>
      </c>
      <c r="E61" s="12">
        <f>'2_Cleaned_Data'!M61</f>
        <v>553756.43000000005</v>
      </c>
      <c r="F61" s="12">
        <f>'5_Multiple_Regression'!$B$324+'5_Multiple_Regression'!$B$325*'2_Cleaned_Data'!E61+'5_Multiple_Regression'!$B$326*'2_Cleaned_Data'!F61+'5_Multiple_Regression'!$B$327*'2_Cleaned_Data'!G61+'5_Multiple_Regression'!$B$328*'2_Cleaned_Data'!I61+'5_Multiple_Regression'!$B$329*IF('2_Cleaned_Data'!D61="Airport",1,0)+'5_Multiple_Regression'!$B$330*IF('2_Cleaned_Data'!D61="High Street",1,0)+'5_Multiple_Regression'!$B$331*IF('2_Cleaned_Data'!D61="Mall",1,0)</f>
        <v>628283.33081554633</v>
      </c>
      <c r="G61" s="12">
        <f>E61-F61</f>
        <v>-74526.90081554628</v>
      </c>
      <c r="H61" s="13">
        <f>G61/E61*100</f>
        <v>-13.458426264331823</v>
      </c>
    </row>
    <row r="62" spans="1:8" x14ac:dyDescent="0.45">
      <c r="A62" s="5" t="str">
        <f>'2_Cleaned_Data'!A62</f>
        <v>STR-1016</v>
      </c>
      <c r="B62" s="18">
        <f>'2_Cleaned_Data'!B62</f>
        <v>45658</v>
      </c>
      <c r="C62" s="5" t="str">
        <f>'2_Cleaned_Data'!C62</f>
        <v>South</v>
      </c>
      <c r="D62" s="5" t="str">
        <f>'2_Cleaned_Data'!D62</f>
        <v>High Street</v>
      </c>
      <c r="E62" s="12">
        <f>'2_Cleaned_Data'!M62</f>
        <v>749559.71</v>
      </c>
      <c r="F62" s="12">
        <f>'5_Multiple_Regression'!$B$324+'5_Multiple_Regression'!$B$325*'2_Cleaned_Data'!E62+'5_Multiple_Regression'!$B$326*'2_Cleaned_Data'!F62+'5_Multiple_Regression'!$B$327*'2_Cleaned_Data'!G62+'5_Multiple_Regression'!$B$328*'2_Cleaned_Data'!I62+'5_Multiple_Regression'!$B$329*IF('2_Cleaned_Data'!D62="Airport",1,0)+'5_Multiple_Regression'!$B$330*IF('2_Cleaned_Data'!D62="High Street",1,0)+'5_Multiple_Regression'!$B$331*IF('2_Cleaned_Data'!D62="Mall",1,0)</f>
        <v>684560.40657651925</v>
      </c>
      <c r="G62" s="12">
        <f>E62-F62</f>
        <v>64999.303423480713</v>
      </c>
      <c r="H62" s="13">
        <f>G62/E62*100</f>
        <v>8.6716645193590658</v>
      </c>
    </row>
    <row r="63" spans="1:8" x14ac:dyDescent="0.45">
      <c r="A63" s="5" t="str">
        <f>'2_Cleaned_Data'!A63</f>
        <v>STR-1016</v>
      </c>
      <c r="B63" s="18">
        <f>'2_Cleaned_Data'!B63</f>
        <v>45689</v>
      </c>
      <c r="C63" s="5" t="str">
        <f>'2_Cleaned_Data'!C63</f>
        <v>South</v>
      </c>
      <c r="D63" s="5" t="str">
        <f>'2_Cleaned_Data'!D63</f>
        <v>High Street</v>
      </c>
      <c r="E63" s="12">
        <f>'2_Cleaned_Data'!M63</f>
        <v>615966.48</v>
      </c>
      <c r="F63" s="12">
        <f>'5_Multiple_Regression'!$B$324+'5_Multiple_Regression'!$B$325*'2_Cleaned_Data'!E63+'5_Multiple_Regression'!$B$326*'2_Cleaned_Data'!F63+'5_Multiple_Regression'!$B$327*'2_Cleaned_Data'!G63+'5_Multiple_Regression'!$B$328*'2_Cleaned_Data'!I63+'5_Multiple_Regression'!$B$329*IF('2_Cleaned_Data'!D63="Airport",1,0)+'5_Multiple_Regression'!$B$330*IF('2_Cleaned_Data'!D63="High Street",1,0)+'5_Multiple_Regression'!$B$331*IF('2_Cleaned_Data'!D63="Mall",1,0)</f>
        <v>568210.22021022788</v>
      </c>
      <c r="G63" s="12">
        <f>E63-F63</f>
        <v>47756.259789772099</v>
      </c>
      <c r="H63" s="13">
        <f>G63/E63*100</f>
        <v>7.7530614636322577</v>
      </c>
    </row>
    <row r="64" spans="1:8" x14ac:dyDescent="0.45">
      <c r="A64" s="5" t="str">
        <f>'2_Cleaned_Data'!A65</f>
        <v>STR-1016</v>
      </c>
      <c r="B64" s="18">
        <f>'2_Cleaned_Data'!B65</f>
        <v>45748</v>
      </c>
      <c r="C64" s="5" t="str">
        <f>'2_Cleaned_Data'!C65</f>
        <v>South</v>
      </c>
      <c r="D64" s="5" t="str">
        <f>'2_Cleaned_Data'!D65</f>
        <v>High Street</v>
      </c>
      <c r="E64" s="12">
        <f>'2_Cleaned_Data'!M65</f>
        <v>761860.19</v>
      </c>
      <c r="F64" s="12">
        <f>'5_Multiple_Regression'!$B$324+'5_Multiple_Regression'!$B$325*'2_Cleaned_Data'!E65+'5_Multiple_Regression'!$B$326*'2_Cleaned_Data'!F65+'5_Multiple_Regression'!$B$327*'2_Cleaned_Data'!G65+'5_Multiple_Regression'!$B$328*'2_Cleaned_Data'!I65+'5_Multiple_Regression'!$B$329*IF('2_Cleaned_Data'!D65="Airport",1,0)+'5_Multiple_Regression'!$B$330*IF('2_Cleaned_Data'!D65="High Street",1,0)+'5_Multiple_Regression'!$B$331*IF('2_Cleaned_Data'!D65="Mall",1,0)</f>
        <v>716489.69496199198</v>
      </c>
      <c r="G64" s="12">
        <f>E64-F64</f>
        <v>45370.495038007968</v>
      </c>
      <c r="H64" s="13">
        <f>G64/E64*100</f>
        <v>5.9552258581732662</v>
      </c>
    </row>
    <row r="65" spans="1:8" x14ac:dyDescent="0.45">
      <c r="A65" s="5" t="str">
        <f>'2_Cleaned_Data'!A64</f>
        <v>STR-1016</v>
      </c>
      <c r="B65" s="18">
        <f>'2_Cleaned_Data'!B64</f>
        <v>45717</v>
      </c>
      <c r="C65" s="5" t="str">
        <f>'2_Cleaned_Data'!C64</f>
        <v>South</v>
      </c>
      <c r="D65" s="5" t="str">
        <f>'2_Cleaned_Data'!D64</f>
        <v>High Street</v>
      </c>
      <c r="E65" s="12">
        <f>'2_Cleaned_Data'!M64</f>
        <v>572011.19999999995</v>
      </c>
      <c r="F65" s="12">
        <f>'5_Multiple_Regression'!$B$324+'5_Multiple_Regression'!$B$325*'2_Cleaned_Data'!E64+'5_Multiple_Regression'!$B$326*'2_Cleaned_Data'!F64+'5_Multiple_Regression'!$B$327*'2_Cleaned_Data'!G64+'5_Multiple_Regression'!$B$328*'2_Cleaned_Data'!I64+'5_Multiple_Regression'!$B$329*IF('2_Cleaned_Data'!D64="Airport",1,0)+'5_Multiple_Regression'!$B$330*IF('2_Cleaned_Data'!D64="High Street",1,0)+'5_Multiple_Regression'!$B$331*IF('2_Cleaned_Data'!D64="Mall",1,0)</f>
        <v>584714.3617251321</v>
      </c>
      <c r="G65" s="12">
        <f>E65-F65</f>
        <v>-12703.161725132144</v>
      </c>
      <c r="H65" s="13">
        <f>G65/E65*100</f>
        <v>-2.2207889854485621</v>
      </c>
    </row>
    <row r="66" spans="1:8" x14ac:dyDescent="0.45">
      <c r="A66" s="5" t="str">
        <f>'2_Cleaned_Data'!A69</f>
        <v>STR-1017</v>
      </c>
      <c r="B66" s="18">
        <f>'2_Cleaned_Data'!B69</f>
        <v>45748</v>
      </c>
      <c r="C66" s="5" t="str">
        <f>'2_Cleaned_Data'!C69</f>
        <v>West</v>
      </c>
      <c r="D66" s="5" t="str">
        <f>'2_Cleaned_Data'!D69</f>
        <v>High Street</v>
      </c>
      <c r="E66" s="12">
        <f>'2_Cleaned_Data'!M69</f>
        <v>740496.65</v>
      </c>
      <c r="F66" s="12">
        <f>'5_Multiple_Regression'!$B$324+'5_Multiple_Regression'!$B$325*'2_Cleaned_Data'!E69+'5_Multiple_Regression'!$B$326*'2_Cleaned_Data'!F69+'5_Multiple_Regression'!$B$327*'2_Cleaned_Data'!G69+'5_Multiple_Regression'!$B$328*'2_Cleaned_Data'!I69+'5_Multiple_Regression'!$B$329*IF('2_Cleaned_Data'!D69="Airport",1,0)+'5_Multiple_Regression'!$B$330*IF('2_Cleaned_Data'!D69="High Street",1,0)+'5_Multiple_Regression'!$B$331*IF('2_Cleaned_Data'!D69="Mall",1,0)</f>
        <v>733270.10574678017</v>
      </c>
      <c r="G66" s="12">
        <f>E66-F66</f>
        <v>7226.5442532198504</v>
      </c>
      <c r="H66" s="13">
        <f>G66/E66*100</f>
        <v>0.97590505685877849</v>
      </c>
    </row>
    <row r="67" spans="1:8" x14ac:dyDescent="0.45">
      <c r="A67" s="5" t="str">
        <f>'2_Cleaned_Data'!A67</f>
        <v>STR-1017</v>
      </c>
      <c r="B67" s="18">
        <f>'2_Cleaned_Data'!B67</f>
        <v>45689</v>
      </c>
      <c r="C67" s="5" t="str">
        <f>'2_Cleaned_Data'!C67</f>
        <v>West</v>
      </c>
      <c r="D67" s="5" t="str">
        <f>'2_Cleaned_Data'!D67</f>
        <v>High Street</v>
      </c>
      <c r="E67" s="12">
        <f>'2_Cleaned_Data'!M67</f>
        <v>717141.55</v>
      </c>
      <c r="F67" s="12">
        <f>'5_Multiple_Regression'!$B$324+'5_Multiple_Regression'!$B$325*'2_Cleaned_Data'!E67+'5_Multiple_Regression'!$B$326*'2_Cleaned_Data'!F67+'5_Multiple_Regression'!$B$327*'2_Cleaned_Data'!G67+'5_Multiple_Regression'!$B$328*'2_Cleaned_Data'!I67+'5_Multiple_Regression'!$B$329*IF('2_Cleaned_Data'!D67="Airport",1,0)+'5_Multiple_Regression'!$B$330*IF('2_Cleaned_Data'!D67="High Street",1,0)+'5_Multiple_Regression'!$B$331*IF('2_Cleaned_Data'!D67="Mall",1,0)</f>
        <v>733953.44407373562</v>
      </c>
      <c r="G67" s="12">
        <f>E67-F67</f>
        <v>-16811.894073735573</v>
      </c>
      <c r="H67" s="13">
        <f>G67/E67*100</f>
        <v>-2.3442922912130211</v>
      </c>
    </row>
    <row r="68" spans="1:8" x14ac:dyDescent="0.45">
      <c r="A68" s="5" t="str">
        <f>'2_Cleaned_Data'!A66</f>
        <v>STR-1017</v>
      </c>
      <c r="B68" s="18">
        <f>'2_Cleaned_Data'!B66</f>
        <v>45658</v>
      </c>
      <c r="C68" s="5" t="str">
        <f>'2_Cleaned_Data'!C66</f>
        <v>West</v>
      </c>
      <c r="D68" s="5" t="str">
        <f>'2_Cleaned_Data'!D66</f>
        <v>High Street</v>
      </c>
      <c r="E68" s="12">
        <f>'2_Cleaned_Data'!M66</f>
        <v>784502.68</v>
      </c>
      <c r="F68" s="12">
        <f>'5_Multiple_Regression'!$B$324+'5_Multiple_Regression'!$B$325*'2_Cleaned_Data'!E66+'5_Multiple_Regression'!$B$326*'2_Cleaned_Data'!F66+'5_Multiple_Regression'!$B$327*'2_Cleaned_Data'!G66+'5_Multiple_Regression'!$B$328*'2_Cleaned_Data'!I66+'5_Multiple_Regression'!$B$329*IF('2_Cleaned_Data'!D66="Airport",1,0)+'5_Multiple_Regression'!$B$330*IF('2_Cleaned_Data'!D66="High Street",1,0)+'5_Multiple_Regression'!$B$331*IF('2_Cleaned_Data'!D66="Mall",1,0)</f>
        <v>805104.00936383859</v>
      </c>
      <c r="G68" s="12">
        <f>E68-F68</f>
        <v>-20601.329363838537</v>
      </c>
      <c r="H68" s="13">
        <f>G68/E68*100</f>
        <v>-2.62603683697276</v>
      </c>
    </row>
    <row r="69" spans="1:8" x14ac:dyDescent="0.45">
      <c r="A69" s="5" t="str">
        <f>'2_Cleaned_Data'!A68</f>
        <v>STR-1017</v>
      </c>
      <c r="B69" s="18">
        <f>'2_Cleaned_Data'!B68</f>
        <v>45717</v>
      </c>
      <c r="C69" s="5" t="str">
        <f>'2_Cleaned_Data'!C68</f>
        <v>West</v>
      </c>
      <c r="D69" s="5" t="str">
        <f>'2_Cleaned_Data'!D68</f>
        <v>High Street</v>
      </c>
      <c r="E69" s="12">
        <f>'2_Cleaned_Data'!M68</f>
        <v>685379.08</v>
      </c>
      <c r="F69" s="12">
        <f>'5_Multiple_Regression'!$B$324+'5_Multiple_Regression'!$B$325*'2_Cleaned_Data'!E68+'5_Multiple_Regression'!$B$326*'2_Cleaned_Data'!F68+'5_Multiple_Regression'!$B$327*'2_Cleaned_Data'!G68+'5_Multiple_Regression'!$B$328*'2_Cleaned_Data'!I68+'5_Multiple_Regression'!$B$329*IF('2_Cleaned_Data'!D68="Airport",1,0)+'5_Multiple_Regression'!$B$330*IF('2_Cleaned_Data'!D68="High Street",1,0)+'5_Multiple_Regression'!$B$331*IF('2_Cleaned_Data'!D68="Mall",1,0)</f>
        <v>842418.23363628529</v>
      </c>
      <c r="G69" s="12">
        <f>E69-F69</f>
        <v>-157039.15363628534</v>
      </c>
      <c r="H69" s="13">
        <f>G69/E69*100</f>
        <v>-22.912743942561733</v>
      </c>
    </row>
    <row r="70" spans="1:8" x14ac:dyDescent="0.45">
      <c r="A70" s="5" t="str">
        <f>'2_Cleaned_Data'!A70</f>
        <v>STR-1018</v>
      </c>
      <c r="B70" s="18">
        <f>'2_Cleaned_Data'!B70</f>
        <v>45658</v>
      </c>
      <c r="C70" s="5" t="str">
        <f>'2_Cleaned_Data'!C70</f>
        <v>East</v>
      </c>
      <c r="D70" s="5" t="str">
        <f>'2_Cleaned_Data'!D70</f>
        <v>High Street</v>
      </c>
      <c r="E70" s="12">
        <f>'2_Cleaned_Data'!M70</f>
        <v>661927.14</v>
      </c>
      <c r="F70" s="12">
        <f>'5_Multiple_Regression'!$B$324+'5_Multiple_Regression'!$B$325*'2_Cleaned_Data'!E70+'5_Multiple_Regression'!$B$326*'2_Cleaned_Data'!F70+'5_Multiple_Regression'!$B$327*'2_Cleaned_Data'!G70+'5_Multiple_Regression'!$B$328*'2_Cleaned_Data'!I70+'5_Multiple_Regression'!$B$329*IF('2_Cleaned_Data'!D70="Airport",1,0)+'5_Multiple_Regression'!$B$330*IF('2_Cleaned_Data'!D70="High Street",1,0)+'5_Multiple_Regression'!$B$331*IF('2_Cleaned_Data'!D70="Mall",1,0)</f>
        <v>599298.56094203133</v>
      </c>
      <c r="G70" s="12">
        <f>E70-F70</f>
        <v>62628.579057968687</v>
      </c>
      <c r="H70" s="13">
        <f>G70/E70*100</f>
        <v>9.4615517741074484</v>
      </c>
    </row>
    <row r="71" spans="1:8" x14ac:dyDescent="0.45">
      <c r="A71" s="5" t="str">
        <f>'2_Cleaned_Data'!A72</f>
        <v>STR-1018</v>
      </c>
      <c r="B71" s="18">
        <f>'2_Cleaned_Data'!B72</f>
        <v>45717</v>
      </c>
      <c r="C71" s="5" t="str">
        <f>'2_Cleaned_Data'!C72</f>
        <v>East</v>
      </c>
      <c r="D71" s="5" t="str">
        <f>'2_Cleaned_Data'!D72</f>
        <v>High Street</v>
      </c>
      <c r="E71" s="12">
        <f>'2_Cleaned_Data'!M72</f>
        <v>605023.87</v>
      </c>
      <c r="F71" s="12">
        <f>'5_Multiple_Regression'!$B$324+'5_Multiple_Regression'!$B$325*'2_Cleaned_Data'!E72+'5_Multiple_Regression'!$B$326*'2_Cleaned_Data'!F72+'5_Multiple_Regression'!$B$327*'2_Cleaned_Data'!G72+'5_Multiple_Regression'!$B$328*'2_Cleaned_Data'!I72+'5_Multiple_Regression'!$B$329*IF('2_Cleaned_Data'!D72="Airport",1,0)+'5_Multiple_Regression'!$B$330*IF('2_Cleaned_Data'!D72="High Street",1,0)+'5_Multiple_Regression'!$B$331*IF('2_Cleaned_Data'!D72="Mall",1,0)</f>
        <v>599279.77308147738</v>
      </c>
      <c r="G71" s="12">
        <f>E71-F71</f>
        <v>5744.0969185226131</v>
      </c>
      <c r="H71" s="13">
        <f>G71/E71*100</f>
        <v>0.94940004904643072</v>
      </c>
    </row>
    <row r="72" spans="1:8" x14ac:dyDescent="0.45">
      <c r="A72" s="5" t="str">
        <f>'2_Cleaned_Data'!A71</f>
        <v>STR-1018</v>
      </c>
      <c r="B72" s="18">
        <f>'2_Cleaned_Data'!B71</f>
        <v>45689</v>
      </c>
      <c r="C72" s="5" t="str">
        <f>'2_Cleaned_Data'!C71</f>
        <v>East</v>
      </c>
      <c r="D72" s="5" t="str">
        <f>'2_Cleaned_Data'!D71</f>
        <v>High Street</v>
      </c>
      <c r="E72" s="12">
        <f>'2_Cleaned_Data'!M71</f>
        <v>479050.5</v>
      </c>
      <c r="F72" s="12">
        <f>'5_Multiple_Regression'!$B$324+'5_Multiple_Regression'!$B$325*'2_Cleaned_Data'!E71+'5_Multiple_Regression'!$B$326*'2_Cleaned_Data'!F71+'5_Multiple_Regression'!$B$327*'2_Cleaned_Data'!G71+'5_Multiple_Regression'!$B$328*'2_Cleaned_Data'!I71+'5_Multiple_Regression'!$B$329*IF('2_Cleaned_Data'!D71="Airport",1,0)+'5_Multiple_Regression'!$B$330*IF('2_Cleaned_Data'!D71="High Street",1,0)+'5_Multiple_Regression'!$B$331*IF('2_Cleaned_Data'!D71="Mall",1,0)</f>
        <v>511362.27951093687</v>
      </c>
      <c r="G72" s="12">
        <f>E72-F72</f>
        <v>-32311.779510936874</v>
      </c>
      <c r="H72" s="13">
        <f>G72/E72*100</f>
        <v>-6.7449631116003159</v>
      </c>
    </row>
    <row r="73" spans="1:8" x14ac:dyDescent="0.45">
      <c r="A73" s="5" t="str">
        <f>'2_Cleaned_Data'!A75</f>
        <v>STR-1019</v>
      </c>
      <c r="B73" s="18">
        <f>'2_Cleaned_Data'!B75</f>
        <v>45717</v>
      </c>
      <c r="C73" s="5" t="str">
        <f>'2_Cleaned_Data'!C75</f>
        <v>East</v>
      </c>
      <c r="D73" s="5" t="str">
        <f>'2_Cleaned_Data'!D75</f>
        <v>Residential</v>
      </c>
      <c r="E73" s="12">
        <f>'2_Cleaned_Data'!M75</f>
        <v>788087.68</v>
      </c>
      <c r="F73" s="12">
        <f>'5_Multiple_Regression'!$B$324+'5_Multiple_Regression'!$B$325*'2_Cleaned_Data'!E75+'5_Multiple_Regression'!$B$326*'2_Cleaned_Data'!F75+'5_Multiple_Regression'!$B$327*'2_Cleaned_Data'!G75+'5_Multiple_Regression'!$B$328*'2_Cleaned_Data'!I75+'5_Multiple_Regression'!$B$329*IF('2_Cleaned_Data'!D75="Airport",1,0)+'5_Multiple_Regression'!$B$330*IF('2_Cleaned_Data'!D75="High Street",1,0)+'5_Multiple_Regression'!$B$331*IF('2_Cleaned_Data'!D75="Mall",1,0)</f>
        <v>701799.37304050883</v>
      </c>
      <c r="G73" s="12">
        <f>E73-F73</f>
        <v>86288.306959491223</v>
      </c>
      <c r="H73" s="13">
        <f>G73/E73*100</f>
        <v>10.949074468400676</v>
      </c>
    </row>
    <row r="74" spans="1:8" x14ac:dyDescent="0.45">
      <c r="A74" s="5" t="str">
        <f>'2_Cleaned_Data'!A73</f>
        <v>STR-1019</v>
      </c>
      <c r="B74" s="18">
        <f>'2_Cleaned_Data'!B73</f>
        <v>45658</v>
      </c>
      <c r="C74" s="5" t="str">
        <f>'2_Cleaned_Data'!C73</f>
        <v>East</v>
      </c>
      <c r="D74" s="5" t="str">
        <f>'2_Cleaned_Data'!D73</f>
        <v>Residential</v>
      </c>
      <c r="E74" s="12">
        <f>'2_Cleaned_Data'!M73</f>
        <v>616069.41</v>
      </c>
      <c r="F74" s="12">
        <f>'5_Multiple_Regression'!$B$324+'5_Multiple_Regression'!$B$325*'2_Cleaned_Data'!E73+'5_Multiple_Regression'!$B$326*'2_Cleaned_Data'!F73+'5_Multiple_Regression'!$B$327*'2_Cleaned_Data'!G73+'5_Multiple_Regression'!$B$328*'2_Cleaned_Data'!I73+'5_Multiple_Regression'!$B$329*IF('2_Cleaned_Data'!D73="Airport",1,0)+'5_Multiple_Regression'!$B$330*IF('2_Cleaned_Data'!D73="High Street",1,0)+'5_Multiple_Regression'!$B$331*IF('2_Cleaned_Data'!D73="Mall",1,0)</f>
        <v>598461.1041366061</v>
      </c>
      <c r="G74" s="12">
        <f>E74-F74</f>
        <v>17608.305863393936</v>
      </c>
      <c r="H74" s="13">
        <f>G74/E74*100</f>
        <v>2.8581691571723931</v>
      </c>
    </row>
    <row r="75" spans="1:8" x14ac:dyDescent="0.45">
      <c r="A75" s="5" t="str">
        <f>'2_Cleaned_Data'!A76</f>
        <v>STR-1019</v>
      </c>
      <c r="B75" s="18">
        <f>'2_Cleaned_Data'!B76</f>
        <v>45748</v>
      </c>
      <c r="C75" s="5" t="str">
        <f>'2_Cleaned_Data'!C76</f>
        <v>East</v>
      </c>
      <c r="D75" s="5" t="str">
        <f>'2_Cleaned_Data'!D76</f>
        <v>Residential</v>
      </c>
      <c r="E75" s="12">
        <f>'2_Cleaned_Data'!M76</f>
        <v>680840.36</v>
      </c>
      <c r="F75" s="12">
        <f>'5_Multiple_Regression'!$B$324+'5_Multiple_Regression'!$B$325*'2_Cleaned_Data'!E76+'5_Multiple_Regression'!$B$326*'2_Cleaned_Data'!F76+'5_Multiple_Regression'!$B$327*'2_Cleaned_Data'!G76+'5_Multiple_Regression'!$B$328*'2_Cleaned_Data'!I76+'5_Multiple_Regression'!$B$329*IF('2_Cleaned_Data'!D76="Airport",1,0)+'5_Multiple_Regression'!$B$330*IF('2_Cleaned_Data'!D76="High Street",1,0)+'5_Multiple_Regression'!$B$331*IF('2_Cleaned_Data'!D76="Mall",1,0)</f>
        <v>713506.29456356529</v>
      </c>
      <c r="G75" s="12">
        <f>E75-F75</f>
        <v>-32665.934563565301</v>
      </c>
      <c r="H75" s="13">
        <f>G75/E75*100</f>
        <v>-4.797884567766415</v>
      </c>
    </row>
    <row r="76" spans="1:8" x14ac:dyDescent="0.45">
      <c r="A76" s="5" t="str">
        <f>'2_Cleaned_Data'!A74</f>
        <v>STR-1019</v>
      </c>
      <c r="B76" s="18">
        <f>'2_Cleaned_Data'!B74</f>
        <v>45689</v>
      </c>
      <c r="C76" s="5" t="str">
        <f>'2_Cleaned_Data'!C74</f>
        <v>East</v>
      </c>
      <c r="D76" s="5" t="str">
        <f>'2_Cleaned_Data'!D74</f>
        <v>Residential</v>
      </c>
      <c r="E76" s="12">
        <f>'2_Cleaned_Data'!M74</f>
        <v>630829.93999999994</v>
      </c>
      <c r="F76" s="12">
        <f>'5_Multiple_Regression'!$B$324+'5_Multiple_Regression'!$B$325*'2_Cleaned_Data'!E74+'5_Multiple_Regression'!$B$326*'2_Cleaned_Data'!F74+'5_Multiple_Regression'!$B$327*'2_Cleaned_Data'!G74+'5_Multiple_Regression'!$B$328*'2_Cleaned_Data'!I74+'5_Multiple_Regression'!$B$329*IF('2_Cleaned_Data'!D74="Airport",1,0)+'5_Multiple_Regression'!$B$330*IF('2_Cleaned_Data'!D74="High Street",1,0)+'5_Multiple_Regression'!$B$331*IF('2_Cleaned_Data'!D74="Mall",1,0)</f>
        <v>693507.5697905398</v>
      </c>
      <c r="G76" s="12">
        <f>E76-F76</f>
        <v>-62677.629790539853</v>
      </c>
      <c r="H76" s="13">
        <f>G76/E76*100</f>
        <v>-9.9357411270840856</v>
      </c>
    </row>
    <row r="77" spans="1:8" x14ac:dyDescent="0.45">
      <c r="A77" s="5" t="str">
        <f>'2_Cleaned_Data'!A79</f>
        <v>STR-1020</v>
      </c>
      <c r="B77" s="18">
        <f>'2_Cleaned_Data'!B79</f>
        <v>45717</v>
      </c>
      <c r="C77" s="5" t="str">
        <f>'2_Cleaned_Data'!C79</f>
        <v>South</v>
      </c>
      <c r="D77" s="5" t="str">
        <f>'2_Cleaned_Data'!D79</f>
        <v>High Street</v>
      </c>
      <c r="E77" s="12">
        <f>'2_Cleaned_Data'!M79</f>
        <v>776922.17</v>
      </c>
      <c r="F77" s="12">
        <f>'5_Multiple_Regression'!$B$324+'5_Multiple_Regression'!$B$325*'2_Cleaned_Data'!E79+'5_Multiple_Regression'!$B$326*'2_Cleaned_Data'!F79+'5_Multiple_Regression'!$B$327*'2_Cleaned_Data'!G79+'5_Multiple_Regression'!$B$328*'2_Cleaned_Data'!I79+'5_Multiple_Regression'!$B$329*IF('2_Cleaned_Data'!D79="Airport",1,0)+'5_Multiple_Regression'!$B$330*IF('2_Cleaned_Data'!D79="High Street",1,0)+'5_Multiple_Regression'!$B$331*IF('2_Cleaned_Data'!D79="Mall",1,0)</f>
        <v>723786.75157900911</v>
      </c>
      <c r="G77" s="12">
        <f>E77-F77</f>
        <v>53135.418420990929</v>
      </c>
      <c r="H77" s="13">
        <f>G77/E77*100</f>
        <v>6.8392202556133679</v>
      </c>
    </row>
    <row r="78" spans="1:8" x14ac:dyDescent="0.45">
      <c r="A78" s="5" t="str">
        <f>'2_Cleaned_Data'!A78</f>
        <v>STR-1020</v>
      </c>
      <c r="B78" s="18">
        <f>'2_Cleaned_Data'!B78</f>
        <v>45689</v>
      </c>
      <c r="C78" s="5" t="str">
        <f>'2_Cleaned_Data'!C78</f>
        <v>South</v>
      </c>
      <c r="D78" s="5" t="str">
        <f>'2_Cleaned_Data'!D78</f>
        <v>High Street</v>
      </c>
      <c r="E78" s="12">
        <f>'2_Cleaned_Data'!M78</f>
        <v>691112.6</v>
      </c>
      <c r="F78" s="12">
        <f>'5_Multiple_Regression'!$B$324+'5_Multiple_Regression'!$B$325*'2_Cleaned_Data'!E78+'5_Multiple_Regression'!$B$326*'2_Cleaned_Data'!F78+'5_Multiple_Regression'!$B$327*'2_Cleaned_Data'!G78+'5_Multiple_Regression'!$B$328*'2_Cleaned_Data'!I78+'5_Multiple_Regression'!$B$329*IF('2_Cleaned_Data'!D78="Airport",1,0)+'5_Multiple_Regression'!$B$330*IF('2_Cleaned_Data'!D78="High Street",1,0)+'5_Multiple_Regression'!$B$331*IF('2_Cleaned_Data'!D78="Mall",1,0)</f>
        <v>654419.14807726408</v>
      </c>
      <c r="G78" s="12">
        <f>E78-F78</f>
        <v>36693.451922735898</v>
      </c>
      <c r="H78" s="13">
        <f>G78/E78*100</f>
        <v>5.3093304799732923</v>
      </c>
    </row>
    <row r="79" spans="1:8" x14ac:dyDescent="0.45">
      <c r="A79" s="5" t="str">
        <f>'2_Cleaned_Data'!A77</f>
        <v>STR-1020</v>
      </c>
      <c r="B79" s="18">
        <f>'2_Cleaned_Data'!B77</f>
        <v>45658</v>
      </c>
      <c r="C79" s="5" t="str">
        <f>'2_Cleaned_Data'!C77</f>
        <v>South</v>
      </c>
      <c r="D79" s="5" t="str">
        <f>'2_Cleaned_Data'!D77</f>
        <v>High Street</v>
      </c>
      <c r="E79" s="12">
        <f>'2_Cleaned_Data'!M77</f>
        <v>643657.47</v>
      </c>
      <c r="F79" s="12">
        <f>'5_Multiple_Regression'!$B$324+'5_Multiple_Regression'!$B$325*'2_Cleaned_Data'!E77+'5_Multiple_Regression'!$B$326*'2_Cleaned_Data'!F77+'5_Multiple_Regression'!$B$327*'2_Cleaned_Data'!G77+'5_Multiple_Regression'!$B$328*'2_Cleaned_Data'!I77+'5_Multiple_Regression'!$B$329*IF('2_Cleaned_Data'!D77="Airport",1,0)+'5_Multiple_Regression'!$B$330*IF('2_Cleaned_Data'!D77="High Street",1,0)+'5_Multiple_Regression'!$B$331*IF('2_Cleaned_Data'!D77="Mall",1,0)</f>
        <v>656707.36224000889</v>
      </c>
      <c r="G79" s="12">
        <f>E79-F79</f>
        <v>-13049.892240008921</v>
      </c>
      <c r="H79" s="13">
        <f>G79/E79*100</f>
        <v>-2.027459145313566</v>
      </c>
    </row>
    <row r="80" spans="1:8" x14ac:dyDescent="0.45">
      <c r="A80" s="5" t="str">
        <f>'2_Cleaned_Data'!A80</f>
        <v>STR-1020</v>
      </c>
      <c r="B80" s="18">
        <f>'2_Cleaned_Data'!B80</f>
        <v>45748</v>
      </c>
      <c r="C80" s="5" t="str">
        <f>'2_Cleaned_Data'!C80</f>
        <v>South</v>
      </c>
      <c r="D80" s="5" t="str">
        <f>'2_Cleaned_Data'!D80</f>
        <v>High Street</v>
      </c>
      <c r="E80" s="12">
        <f>'2_Cleaned_Data'!M80</f>
        <v>636561.34</v>
      </c>
      <c r="F80" s="12">
        <f>'5_Multiple_Regression'!$B$324+'5_Multiple_Regression'!$B$325*'2_Cleaned_Data'!E80+'5_Multiple_Regression'!$B$326*'2_Cleaned_Data'!F80+'5_Multiple_Regression'!$B$327*'2_Cleaned_Data'!G80+'5_Multiple_Regression'!$B$328*'2_Cleaned_Data'!I80+'5_Multiple_Regression'!$B$329*IF('2_Cleaned_Data'!D80="Airport",1,0)+'5_Multiple_Regression'!$B$330*IF('2_Cleaned_Data'!D80="High Street",1,0)+'5_Multiple_Regression'!$B$331*IF('2_Cleaned_Data'!D80="Mall",1,0)</f>
        <v>660041.49328012741</v>
      </c>
      <c r="G80" s="12">
        <f>E80-F80</f>
        <v>-23480.153280127444</v>
      </c>
      <c r="H80" s="13">
        <f>G80/E80*100</f>
        <v>-3.6885924112399673</v>
      </c>
    </row>
    <row r="81" spans="1:8" x14ac:dyDescent="0.45">
      <c r="A81" s="5" t="str">
        <f>'2_Cleaned_Data'!A83</f>
        <v>STR-1021</v>
      </c>
      <c r="B81" s="18">
        <f>'2_Cleaned_Data'!B83</f>
        <v>45717</v>
      </c>
      <c r="C81" s="5" t="str">
        <f>'2_Cleaned_Data'!C83</f>
        <v>West</v>
      </c>
      <c r="D81" s="5" t="str">
        <f>'2_Cleaned_Data'!D83</f>
        <v>Mall</v>
      </c>
      <c r="E81" s="12">
        <f>'2_Cleaned_Data'!M83</f>
        <v>727241.86</v>
      </c>
      <c r="F81" s="12">
        <f>'5_Multiple_Regression'!$B$324+'5_Multiple_Regression'!$B$325*'2_Cleaned_Data'!E83+'5_Multiple_Regression'!$B$326*'2_Cleaned_Data'!F83+'5_Multiple_Regression'!$B$327*'2_Cleaned_Data'!G83+'5_Multiple_Regression'!$B$328*'2_Cleaned_Data'!I83+'5_Multiple_Regression'!$B$329*IF('2_Cleaned_Data'!D83="Airport",1,0)+'5_Multiple_Regression'!$B$330*IF('2_Cleaned_Data'!D83="High Street",1,0)+'5_Multiple_Regression'!$B$331*IF('2_Cleaned_Data'!D83="Mall",1,0)</f>
        <v>645886.73892839125</v>
      </c>
      <c r="G81" s="12">
        <f>E81-F81</f>
        <v>81355.121071608737</v>
      </c>
      <c r="H81" s="13">
        <f>G81/E81*100</f>
        <v>11.186803943272563</v>
      </c>
    </row>
    <row r="82" spans="1:8" x14ac:dyDescent="0.45">
      <c r="A82" s="5" t="str">
        <f>'2_Cleaned_Data'!A82</f>
        <v>STR-1021</v>
      </c>
      <c r="B82" s="18">
        <f>'2_Cleaned_Data'!B82</f>
        <v>45689</v>
      </c>
      <c r="C82" s="5" t="str">
        <f>'2_Cleaned_Data'!C82</f>
        <v>West</v>
      </c>
      <c r="D82" s="5" t="str">
        <f>'2_Cleaned_Data'!D82</f>
        <v>Mall</v>
      </c>
      <c r="E82" s="12">
        <f>'2_Cleaned_Data'!M82</f>
        <v>682208.01</v>
      </c>
      <c r="F82" s="12">
        <f>'5_Multiple_Regression'!$B$324+'5_Multiple_Regression'!$B$325*'2_Cleaned_Data'!E82+'5_Multiple_Regression'!$B$326*'2_Cleaned_Data'!F82+'5_Multiple_Regression'!$B$327*'2_Cleaned_Data'!G82+'5_Multiple_Regression'!$B$328*'2_Cleaned_Data'!I82+'5_Multiple_Regression'!$B$329*IF('2_Cleaned_Data'!D82="Airport",1,0)+'5_Multiple_Regression'!$B$330*IF('2_Cleaned_Data'!D82="High Street",1,0)+'5_Multiple_Regression'!$B$331*IF('2_Cleaned_Data'!D82="Mall",1,0)</f>
        <v>631816.41321414616</v>
      </c>
      <c r="G82" s="12">
        <f>E82-F82</f>
        <v>50391.59678585385</v>
      </c>
      <c r="H82" s="13">
        <f>G82/E82*100</f>
        <v>7.3865442866690838</v>
      </c>
    </row>
    <row r="83" spans="1:8" x14ac:dyDescent="0.45">
      <c r="A83" s="5" t="str">
        <f>'2_Cleaned_Data'!A84</f>
        <v>STR-1021</v>
      </c>
      <c r="B83" s="18">
        <f>'2_Cleaned_Data'!B84</f>
        <v>45748</v>
      </c>
      <c r="C83" s="5" t="str">
        <f>'2_Cleaned_Data'!C84</f>
        <v>West</v>
      </c>
      <c r="D83" s="5" t="str">
        <f>'2_Cleaned_Data'!D84</f>
        <v>Mall</v>
      </c>
      <c r="E83" s="12">
        <f>'2_Cleaned_Data'!M84</f>
        <v>569100.78</v>
      </c>
      <c r="F83" s="12">
        <f>'5_Multiple_Regression'!$B$324+'5_Multiple_Regression'!$B$325*'2_Cleaned_Data'!E84+'5_Multiple_Regression'!$B$326*'2_Cleaned_Data'!F84+'5_Multiple_Regression'!$B$327*'2_Cleaned_Data'!G84+'5_Multiple_Regression'!$B$328*'2_Cleaned_Data'!I84+'5_Multiple_Regression'!$B$329*IF('2_Cleaned_Data'!D84="Airport",1,0)+'5_Multiple_Regression'!$B$330*IF('2_Cleaned_Data'!D84="High Street",1,0)+'5_Multiple_Regression'!$B$331*IF('2_Cleaned_Data'!D84="Mall",1,0)</f>
        <v>560320.72095591621</v>
      </c>
      <c r="G83" s="12">
        <f>E83-F83</f>
        <v>8780.0590440838132</v>
      </c>
      <c r="H83" s="13">
        <f>G83/E83*100</f>
        <v>1.542795116900703</v>
      </c>
    </row>
    <row r="84" spans="1:8" x14ac:dyDescent="0.45">
      <c r="A84" s="5" t="str">
        <f>'2_Cleaned_Data'!A81</f>
        <v>STR-1021</v>
      </c>
      <c r="B84" s="18">
        <f>'2_Cleaned_Data'!B81</f>
        <v>45658</v>
      </c>
      <c r="C84" s="5" t="str">
        <f>'2_Cleaned_Data'!C81</f>
        <v>West</v>
      </c>
      <c r="D84" s="5" t="str">
        <f>'2_Cleaned_Data'!D81</f>
        <v>Mall</v>
      </c>
      <c r="E84" s="12">
        <f>'2_Cleaned_Data'!M81</f>
        <v>621369.57999999996</v>
      </c>
      <c r="F84" s="12">
        <f>'5_Multiple_Regression'!$B$324+'5_Multiple_Regression'!$B$325*'2_Cleaned_Data'!E81+'5_Multiple_Regression'!$B$326*'2_Cleaned_Data'!F81+'5_Multiple_Regression'!$B$327*'2_Cleaned_Data'!G81+'5_Multiple_Regression'!$B$328*'2_Cleaned_Data'!I81+'5_Multiple_Regression'!$B$329*IF('2_Cleaned_Data'!D81="Airport",1,0)+'5_Multiple_Regression'!$B$330*IF('2_Cleaned_Data'!D81="High Street",1,0)+'5_Multiple_Regression'!$B$331*IF('2_Cleaned_Data'!D81="Mall",1,0)</f>
        <v>643742.09122758335</v>
      </c>
      <c r="G84" s="12">
        <f>E84-F84</f>
        <v>-22372.511227583396</v>
      </c>
      <c r="H84" s="13">
        <f>G84/E84*100</f>
        <v>-3.600516012963396</v>
      </c>
    </row>
    <row r="85" spans="1:8" x14ac:dyDescent="0.45">
      <c r="A85" s="5" t="str">
        <f>'2_Cleaned_Data'!A85</f>
        <v>STR-1022</v>
      </c>
      <c r="B85" s="18">
        <f>'2_Cleaned_Data'!B85</f>
        <v>45658</v>
      </c>
      <c r="C85" s="5" t="str">
        <f>'2_Cleaned_Data'!C85</f>
        <v>West</v>
      </c>
      <c r="D85" s="5" t="str">
        <f>'2_Cleaned_Data'!D85</f>
        <v>High Street</v>
      </c>
      <c r="E85" s="12">
        <f>'2_Cleaned_Data'!M85</f>
        <v>574436.29</v>
      </c>
      <c r="F85" s="12">
        <f>'5_Multiple_Regression'!$B$324+'5_Multiple_Regression'!$B$325*'2_Cleaned_Data'!E85+'5_Multiple_Regression'!$B$326*'2_Cleaned_Data'!F85+'5_Multiple_Regression'!$B$327*'2_Cleaned_Data'!G85+'5_Multiple_Regression'!$B$328*'2_Cleaned_Data'!I85+'5_Multiple_Regression'!$B$329*IF('2_Cleaned_Data'!D85="Airport",1,0)+'5_Multiple_Regression'!$B$330*IF('2_Cleaned_Data'!D85="High Street",1,0)+'5_Multiple_Regression'!$B$331*IF('2_Cleaned_Data'!D85="Mall",1,0)</f>
        <v>556182.66131709854</v>
      </c>
      <c r="G85" s="12">
        <f>E85-F85</f>
        <v>18253.628682901501</v>
      </c>
      <c r="H85" s="13">
        <f>G85/E85*100</f>
        <v>3.177659385499739</v>
      </c>
    </row>
    <row r="86" spans="1:8" x14ac:dyDescent="0.45">
      <c r="A86" s="5" t="str">
        <f>'2_Cleaned_Data'!A87</f>
        <v>STR-1022</v>
      </c>
      <c r="B86" s="18">
        <f>'2_Cleaned_Data'!B87</f>
        <v>45748</v>
      </c>
      <c r="C86" s="5" t="str">
        <f>'2_Cleaned_Data'!C87</f>
        <v>West</v>
      </c>
      <c r="D86" s="5" t="str">
        <f>'2_Cleaned_Data'!D87</f>
        <v>High Street</v>
      </c>
      <c r="E86" s="12">
        <f>'2_Cleaned_Data'!M87</f>
        <v>450711.92</v>
      </c>
      <c r="F86" s="12">
        <f>'5_Multiple_Regression'!$B$324+'5_Multiple_Regression'!$B$325*'2_Cleaned_Data'!E87+'5_Multiple_Regression'!$B$326*'2_Cleaned_Data'!F87+'5_Multiple_Regression'!$B$327*'2_Cleaned_Data'!G87+'5_Multiple_Regression'!$B$328*'2_Cleaned_Data'!I87+'5_Multiple_Regression'!$B$329*IF('2_Cleaned_Data'!D87="Airport",1,0)+'5_Multiple_Regression'!$B$330*IF('2_Cleaned_Data'!D87="High Street",1,0)+'5_Multiple_Regression'!$B$331*IF('2_Cleaned_Data'!D87="Mall",1,0)</f>
        <v>453228.3787597121</v>
      </c>
      <c r="G86" s="12">
        <f>E86-F86</f>
        <v>-2516.4587597121135</v>
      </c>
      <c r="H86" s="13">
        <f>G86/E86*100</f>
        <v>-0.55832975522637907</v>
      </c>
    </row>
    <row r="87" spans="1:8" x14ac:dyDescent="0.45">
      <c r="A87" s="5" t="str">
        <f>'2_Cleaned_Data'!A86</f>
        <v>STR-1022</v>
      </c>
      <c r="B87" s="18">
        <f>'2_Cleaned_Data'!B86</f>
        <v>45717</v>
      </c>
      <c r="C87" s="5" t="str">
        <f>'2_Cleaned_Data'!C86</f>
        <v>West</v>
      </c>
      <c r="D87" s="5" t="str">
        <f>'2_Cleaned_Data'!D86</f>
        <v>High Street</v>
      </c>
      <c r="E87" s="12">
        <f>'2_Cleaned_Data'!M86</f>
        <v>614596.31999999995</v>
      </c>
      <c r="F87" s="12">
        <f>'5_Multiple_Regression'!$B$324+'5_Multiple_Regression'!$B$325*'2_Cleaned_Data'!E86+'5_Multiple_Regression'!$B$326*'2_Cleaned_Data'!F86+'5_Multiple_Regression'!$B$327*'2_Cleaned_Data'!G86+'5_Multiple_Regression'!$B$328*'2_Cleaned_Data'!I86+'5_Multiple_Regression'!$B$329*IF('2_Cleaned_Data'!D86="Airport",1,0)+'5_Multiple_Regression'!$B$330*IF('2_Cleaned_Data'!D86="High Street",1,0)+'5_Multiple_Regression'!$B$331*IF('2_Cleaned_Data'!D86="Mall",1,0)</f>
        <v>617515.764042511</v>
      </c>
      <c r="G87" s="12">
        <f>E87-F87</f>
        <v>-2919.4440425110515</v>
      </c>
      <c r="H87" s="13">
        <f>G87/E87*100</f>
        <v>-0.47501814565226358</v>
      </c>
    </row>
    <row r="88" spans="1:8" x14ac:dyDescent="0.45">
      <c r="A88" s="5" t="str">
        <f>'2_Cleaned_Data'!A88</f>
        <v>STR-1023</v>
      </c>
      <c r="B88" s="18">
        <f>'2_Cleaned_Data'!B88</f>
        <v>45658</v>
      </c>
      <c r="C88" s="5" t="str">
        <f>'2_Cleaned_Data'!C88</f>
        <v>South</v>
      </c>
      <c r="D88" s="5" t="str">
        <f>'2_Cleaned_Data'!D88</f>
        <v>Mall</v>
      </c>
      <c r="E88" s="12">
        <f>'2_Cleaned_Data'!M88</f>
        <v>711213.46</v>
      </c>
      <c r="F88" s="12">
        <f>'5_Multiple_Regression'!$B$324+'5_Multiple_Regression'!$B$325*'2_Cleaned_Data'!E88+'5_Multiple_Regression'!$B$326*'2_Cleaned_Data'!F88+'5_Multiple_Regression'!$B$327*'2_Cleaned_Data'!G88+'5_Multiple_Regression'!$B$328*'2_Cleaned_Data'!I88+'5_Multiple_Regression'!$B$329*IF('2_Cleaned_Data'!D88="Airport",1,0)+'5_Multiple_Regression'!$B$330*IF('2_Cleaned_Data'!D88="High Street",1,0)+'5_Multiple_Regression'!$B$331*IF('2_Cleaned_Data'!D88="Mall",1,0)</f>
        <v>680697.71825130878</v>
      </c>
      <c r="G88" s="12">
        <f>E88-F88</f>
        <v>30515.741748691187</v>
      </c>
      <c r="H88" s="13">
        <f>G88/E88*100</f>
        <v>4.2906586369570663</v>
      </c>
    </row>
    <row r="89" spans="1:8" x14ac:dyDescent="0.45">
      <c r="A89" s="5" t="str">
        <f>'2_Cleaned_Data'!A91</f>
        <v>STR-1023</v>
      </c>
      <c r="B89" s="18">
        <f>'2_Cleaned_Data'!B91</f>
        <v>45748</v>
      </c>
      <c r="C89" s="5" t="str">
        <f>'2_Cleaned_Data'!C91</f>
        <v>South</v>
      </c>
      <c r="D89" s="5" t="str">
        <f>'2_Cleaned_Data'!D91</f>
        <v>Mall</v>
      </c>
      <c r="E89" s="12">
        <f>'2_Cleaned_Data'!M91</f>
        <v>586307.22</v>
      </c>
      <c r="F89" s="12">
        <f>'5_Multiple_Regression'!$B$324+'5_Multiple_Regression'!$B$325*'2_Cleaned_Data'!E91+'5_Multiple_Regression'!$B$326*'2_Cleaned_Data'!F91+'5_Multiple_Regression'!$B$327*'2_Cleaned_Data'!G91+'5_Multiple_Regression'!$B$328*'2_Cleaned_Data'!I91+'5_Multiple_Regression'!$B$329*IF('2_Cleaned_Data'!D91="Airport",1,0)+'5_Multiple_Regression'!$B$330*IF('2_Cleaned_Data'!D91="High Street",1,0)+'5_Multiple_Regression'!$B$331*IF('2_Cleaned_Data'!D91="Mall",1,0)</f>
        <v>561384.91894297034</v>
      </c>
      <c r="G89" s="12">
        <f>E89-F89</f>
        <v>24922.301057029632</v>
      </c>
      <c r="H89" s="13">
        <f>G89/E89*100</f>
        <v>4.2507238879012323</v>
      </c>
    </row>
    <row r="90" spans="1:8" x14ac:dyDescent="0.45">
      <c r="A90" s="5" t="str">
        <f>'2_Cleaned_Data'!A90</f>
        <v>STR-1023</v>
      </c>
      <c r="B90" s="18">
        <f>'2_Cleaned_Data'!B90</f>
        <v>45717</v>
      </c>
      <c r="C90" s="5" t="str">
        <f>'2_Cleaned_Data'!C90</f>
        <v>South</v>
      </c>
      <c r="D90" s="5" t="str">
        <f>'2_Cleaned_Data'!D90</f>
        <v>Mall</v>
      </c>
      <c r="E90" s="12">
        <f>'2_Cleaned_Data'!M90</f>
        <v>739852.58</v>
      </c>
      <c r="F90" s="12">
        <f>'5_Multiple_Regression'!$B$324+'5_Multiple_Regression'!$B$325*'2_Cleaned_Data'!E90+'5_Multiple_Regression'!$B$326*'2_Cleaned_Data'!F90+'5_Multiple_Regression'!$B$327*'2_Cleaned_Data'!G90+'5_Multiple_Regression'!$B$328*'2_Cleaned_Data'!I90+'5_Multiple_Regression'!$B$329*IF('2_Cleaned_Data'!D90="Airport",1,0)+'5_Multiple_Regression'!$B$330*IF('2_Cleaned_Data'!D90="High Street",1,0)+'5_Multiple_Regression'!$B$331*IF('2_Cleaned_Data'!D90="Mall",1,0)</f>
        <v>717581.96346834966</v>
      </c>
      <c r="G90" s="12">
        <f>E90-F90</f>
        <v>22270.616531650303</v>
      </c>
      <c r="H90" s="13">
        <f>G90/E90*100</f>
        <v>3.0101424437352513</v>
      </c>
    </row>
    <row r="91" spans="1:8" x14ac:dyDescent="0.45">
      <c r="A91" s="5" t="str">
        <f>'2_Cleaned_Data'!A89</f>
        <v>STR-1023</v>
      </c>
      <c r="B91" s="18">
        <f>'2_Cleaned_Data'!B89</f>
        <v>45689</v>
      </c>
      <c r="C91" s="5" t="str">
        <f>'2_Cleaned_Data'!C89</f>
        <v>South</v>
      </c>
      <c r="D91" s="5" t="str">
        <f>'2_Cleaned_Data'!D89</f>
        <v>Mall</v>
      </c>
      <c r="E91" s="12">
        <f>'2_Cleaned_Data'!M89</f>
        <v>627171.9</v>
      </c>
      <c r="F91" s="12">
        <f>'5_Multiple_Regression'!$B$324+'5_Multiple_Regression'!$B$325*'2_Cleaned_Data'!E89+'5_Multiple_Regression'!$B$326*'2_Cleaned_Data'!F89+'5_Multiple_Regression'!$B$327*'2_Cleaned_Data'!G89+'5_Multiple_Regression'!$B$328*'2_Cleaned_Data'!I89+'5_Multiple_Regression'!$B$329*IF('2_Cleaned_Data'!D89="Airport",1,0)+'5_Multiple_Regression'!$B$330*IF('2_Cleaned_Data'!D89="High Street",1,0)+'5_Multiple_Regression'!$B$331*IF('2_Cleaned_Data'!D89="Mall",1,0)</f>
        <v>754728.7747576714</v>
      </c>
      <c r="G91" s="12">
        <f>E91-F91</f>
        <v>-127556.87475767138</v>
      </c>
      <c r="H91" s="13">
        <f>G91/E91*100</f>
        <v>-20.338423127323047</v>
      </c>
    </row>
    <row r="92" spans="1:8" x14ac:dyDescent="0.45">
      <c r="A92" s="5" t="str">
        <f>'2_Cleaned_Data'!A94</f>
        <v>STR-1024</v>
      </c>
      <c r="B92" s="18">
        <f>'2_Cleaned_Data'!B94</f>
        <v>45717</v>
      </c>
      <c r="C92" s="5" t="str">
        <f>'2_Cleaned_Data'!C94</f>
        <v>West</v>
      </c>
      <c r="D92" s="5" t="str">
        <f>'2_Cleaned_Data'!D94</f>
        <v>Residential</v>
      </c>
      <c r="E92" s="12">
        <f>'2_Cleaned_Data'!M94</f>
        <v>838250.32</v>
      </c>
      <c r="F92" s="12">
        <f>'5_Multiple_Regression'!$B$324+'5_Multiple_Regression'!$B$325*'2_Cleaned_Data'!E94+'5_Multiple_Regression'!$B$326*'2_Cleaned_Data'!F94+'5_Multiple_Regression'!$B$327*'2_Cleaned_Data'!G94+'5_Multiple_Regression'!$B$328*'2_Cleaned_Data'!I94+'5_Multiple_Regression'!$B$329*IF('2_Cleaned_Data'!D94="Airport",1,0)+'5_Multiple_Regression'!$B$330*IF('2_Cleaned_Data'!D94="High Street",1,0)+'5_Multiple_Regression'!$B$331*IF('2_Cleaned_Data'!D94="Mall",1,0)</f>
        <v>760356.59322693397</v>
      </c>
      <c r="G92" s="12">
        <f>E92-F92</f>
        <v>77893.726773065981</v>
      </c>
      <c r="H92" s="13">
        <f>G92/E92*100</f>
        <v>9.292418376060505</v>
      </c>
    </row>
    <row r="93" spans="1:8" x14ac:dyDescent="0.45">
      <c r="A93" s="5" t="str">
        <f>'2_Cleaned_Data'!A93</f>
        <v>STR-1024</v>
      </c>
      <c r="B93" s="18">
        <f>'2_Cleaned_Data'!B93</f>
        <v>45689</v>
      </c>
      <c r="C93" s="5" t="str">
        <f>'2_Cleaned_Data'!C93</f>
        <v>West</v>
      </c>
      <c r="D93" s="5" t="str">
        <f>'2_Cleaned_Data'!D93</f>
        <v>Residential</v>
      </c>
      <c r="E93" s="12">
        <f>'2_Cleaned_Data'!M93</f>
        <v>753473.55</v>
      </c>
      <c r="F93" s="12">
        <f>'5_Multiple_Regression'!$B$324+'5_Multiple_Regression'!$B$325*'2_Cleaned_Data'!E93+'5_Multiple_Regression'!$B$326*'2_Cleaned_Data'!F93+'5_Multiple_Regression'!$B$327*'2_Cleaned_Data'!G93+'5_Multiple_Regression'!$B$328*'2_Cleaned_Data'!I93+'5_Multiple_Regression'!$B$329*IF('2_Cleaned_Data'!D93="Airport",1,0)+'5_Multiple_Regression'!$B$330*IF('2_Cleaned_Data'!D93="High Street",1,0)+'5_Multiple_Regression'!$B$331*IF('2_Cleaned_Data'!D93="Mall",1,0)</f>
        <v>690914.04870514385</v>
      </c>
      <c r="G93" s="12">
        <f>E93-F93</f>
        <v>62559.501294856193</v>
      </c>
      <c r="H93" s="13">
        <f>G93/E93*100</f>
        <v>8.3028131903045832</v>
      </c>
    </row>
    <row r="94" spans="1:8" x14ac:dyDescent="0.45">
      <c r="A94" s="5" t="str">
        <f>'2_Cleaned_Data'!A92</f>
        <v>STR-1024</v>
      </c>
      <c r="B94" s="18">
        <f>'2_Cleaned_Data'!B92</f>
        <v>45658</v>
      </c>
      <c r="C94" s="5" t="str">
        <f>'2_Cleaned_Data'!C92</f>
        <v>West</v>
      </c>
      <c r="D94" s="5" t="str">
        <f>'2_Cleaned_Data'!D92</f>
        <v>Residential</v>
      </c>
      <c r="E94" s="12">
        <f>'2_Cleaned_Data'!M92</f>
        <v>585937.48</v>
      </c>
      <c r="F94" s="12">
        <f>'5_Multiple_Regression'!$B$324+'5_Multiple_Regression'!$B$325*'2_Cleaned_Data'!E92+'5_Multiple_Regression'!$B$326*'2_Cleaned_Data'!F92+'5_Multiple_Regression'!$B$327*'2_Cleaned_Data'!G92+'5_Multiple_Regression'!$B$328*'2_Cleaned_Data'!I92+'5_Multiple_Regression'!$B$329*IF('2_Cleaned_Data'!D92="Airport",1,0)+'5_Multiple_Regression'!$B$330*IF('2_Cleaned_Data'!D92="High Street",1,0)+'5_Multiple_Regression'!$B$331*IF('2_Cleaned_Data'!D92="Mall",1,0)</f>
        <v>581891.21821975091</v>
      </c>
      <c r="G94" s="12">
        <f>E94-F94</f>
        <v>4046.2617802490713</v>
      </c>
      <c r="H94" s="13">
        <f>G94/E94*100</f>
        <v>0.69056203406702565</v>
      </c>
    </row>
    <row r="95" spans="1:8" x14ac:dyDescent="0.45">
      <c r="A95" s="5" t="str">
        <f>'2_Cleaned_Data'!A95</f>
        <v>STR-1024</v>
      </c>
      <c r="B95" s="18">
        <f>'2_Cleaned_Data'!B95</f>
        <v>45748</v>
      </c>
      <c r="C95" s="5" t="str">
        <f>'2_Cleaned_Data'!C95</f>
        <v>West</v>
      </c>
      <c r="D95" s="5" t="str">
        <f>'2_Cleaned_Data'!D95</f>
        <v>Residential</v>
      </c>
      <c r="E95" s="12">
        <f>'2_Cleaned_Data'!M95</f>
        <v>607898.12</v>
      </c>
      <c r="F95" s="12">
        <f>'5_Multiple_Regression'!$B$324+'5_Multiple_Regression'!$B$325*'2_Cleaned_Data'!E95+'5_Multiple_Regression'!$B$326*'2_Cleaned_Data'!F95+'5_Multiple_Regression'!$B$327*'2_Cleaned_Data'!G95+'5_Multiple_Regression'!$B$328*'2_Cleaned_Data'!I95+'5_Multiple_Regression'!$B$329*IF('2_Cleaned_Data'!D95="Airport",1,0)+'5_Multiple_Regression'!$B$330*IF('2_Cleaned_Data'!D95="High Street",1,0)+'5_Multiple_Regression'!$B$331*IF('2_Cleaned_Data'!D95="Mall",1,0)</f>
        <v>614623.58136303793</v>
      </c>
      <c r="G95" s="12">
        <f>E95-F95</f>
        <v>-6725.4613630379317</v>
      </c>
      <c r="H95" s="13">
        <f>G95/E95*100</f>
        <v>-1.10634679426841</v>
      </c>
    </row>
    <row r="96" spans="1:8" x14ac:dyDescent="0.45">
      <c r="A96" s="5" t="str">
        <f>'2_Cleaned_Data'!A97</f>
        <v>STR-1025</v>
      </c>
      <c r="B96" s="18">
        <f>'2_Cleaned_Data'!B97</f>
        <v>45689</v>
      </c>
      <c r="C96" s="5" t="str">
        <f>'2_Cleaned_Data'!C97</f>
        <v>West</v>
      </c>
      <c r="D96" s="5" t="str">
        <f>'2_Cleaned_Data'!D97</f>
        <v>Mall</v>
      </c>
      <c r="E96" s="12">
        <f>'2_Cleaned_Data'!M97</f>
        <v>735509.4</v>
      </c>
      <c r="F96" s="12">
        <f>'5_Multiple_Regression'!$B$324+'5_Multiple_Regression'!$B$325*'2_Cleaned_Data'!E97+'5_Multiple_Regression'!$B$326*'2_Cleaned_Data'!F97+'5_Multiple_Regression'!$B$327*'2_Cleaned_Data'!G97+'5_Multiple_Regression'!$B$328*'2_Cleaned_Data'!I97+'5_Multiple_Regression'!$B$329*IF('2_Cleaned_Data'!D97="Airport",1,0)+'5_Multiple_Regression'!$B$330*IF('2_Cleaned_Data'!D97="High Street",1,0)+'5_Multiple_Regression'!$B$331*IF('2_Cleaned_Data'!D97="Mall",1,0)</f>
        <v>661657.28899823455</v>
      </c>
      <c r="G96" s="12">
        <f>E96-F96</f>
        <v>73852.111001765472</v>
      </c>
      <c r="H96" s="13">
        <f>G96/E96*100</f>
        <v>10.040947267535326</v>
      </c>
    </row>
    <row r="97" spans="1:8" x14ac:dyDescent="0.45">
      <c r="A97" s="5" t="str">
        <f>'2_Cleaned_Data'!A98</f>
        <v>STR-1025</v>
      </c>
      <c r="B97" s="18">
        <f>'2_Cleaned_Data'!B98</f>
        <v>45748</v>
      </c>
      <c r="C97" s="5" t="str">
        <f>'2_Cleaned_Data'!C98</f>
        <v>West</v>
      </c>
      <c r="D97" s="5" t="str">
        <f>'2_Cleaned_Data'!D98</f>
        <v>Mall</v>
      </c>
      <c r="E97" s="12">
        <f>'2_Cleaned_Data'!M98</f>
        <v>675177.68</v>
      </c>
      <c r="F97" s="12">
        <f>'5_Multiple_Regression'!$B$324+'5_Multiple_Regression'!$B$325*'2_Cleaned_Data'!E98+'5_Multiple_Regression'!$B$326*'2_Cleaned_Data'!F98+'5_Multiple_Regression'!$B$327*'2_Cleaned_Data'!G98+'5_Multiple_Regression'!$B$328*'2_Cleaned_Data'!I98+'5_Multiple_Regression'!$B$329*IF('2_Cleaned_Data'!D98="Airport",1,0)+'5_Multiple_Regression'!$B$330*IF('2_Cleaned_Data'!D98="High Street",1,0)+'5_Multiple_Regression'!$B$331*IF('2_Cleaned_Data'!D98="Mall",1,0)</f>
        <v>652212.07631029864</v>
      </c>
      <c r="G97" s="12">
        <f>E97-F97</f>
        <v>22965.603689701413</v>
      </c>
      <c r="H97" s="13">
        <f>G97/E97*100</f>
        <v>3.4014163041795769</v>
      </c>
    </row>
    <row r="98" spans="1:8" x14ac:dyDescent="0.45">
      <c r="A98" s="5" t="str">
        <f>'2_Cleaned_Data'!A96</f>
        <v>STR-1025</v>
      </c>
      <c r="B98" s="18">
        <f>'2_Cleaned_Data'!B96</f>
        <v>45658</v>
      </c>
      <c r="C98" s="5" t="str">
        <f>'2_Cleaned_Data'!C96</f>
        <v>West</v>
      </c>
      <c r="D98" s="5" t="str">
        <f>'2_Cleaned_Data'!D96</f>
        <v>Mall</v>
      </c>
      <c r="E98" s="12">
        <f>'2_Cleaned_Data'!M96</f>
        <v>691113.62</v>
      </c>
      <c r="F98" s="12">
        <f>'5_Multiple_Regression'!$B$324+'5_Multiple_Regression'!$B$325*'2_Cleaned_Data'!E96+'5_Multiple_Regression'!$B$326*'2_Cleaned_Data'!F96+'5_Multiple_Regression'!$B$327*'2_Cleaned_Data'!G96+'5_Multiple_Regression'!$B$328*'2_Cleaned_Data'!I96+'5_Multiple_Regression'!$B$329*IF('2_Cleaned_Data'!D96="Airport",1,0)+'5_Multiple_Regression'!$B$330*IF('2_Cleaned_Data'!D96="High Street",1,0)+'5_Multiple_Regression'!$B$331*IF('2_Cleaned_Data'!D96="Mall",1,0)</f>
        <v>698010.7561379862</v>
      </c>
      <c r="G98" s="12">
        <f>E98-F98</f>
        <v>-6897.1361379862064</v>
      </c>
      <c r="H98" s="13">
        <f>G98/E98*100</f>
        <v>-0.9979742749081123</v>
      </c>
    </row>
    <row r="99" spans="1:8" x14ac:dyDescent="0.45">
      <c r="A99" s="5" t="str">
        <f>'2_Cleaned_Data'!A102</f>
        <v>STR-1026</v>
      </c>
      <c r="B99" s="18">
        <f>'2_Cleaned_Data'!B102</f>
        <v>45748</v>
      </c>
      <c r="C99" s="5" t="str">
        <f>'2_Cleaned_Data'!C102</f>
        <v>East</v>
      </c>
      <c r="D99" s="5" t="str">
        <f>'2_Cleaned_Data'!D102</f>
        <v>Mall</v>
      </c>
      <c r="E99" s="12">
        <f>'2_Cleaned_Data'!M102</f>
        <v>625514.04</v>
      </c>
      <c r="F99" s="12">
        <f>'5_Multiple_Regression'!$B$324+'5_Multiple_Regression'!$B$325*'2_Cleaned_Data'!E102+'5_Multiple_Regression'!$B$326*'2_Cleaned_Data'!F102+'5_Multiple_Regression'!$B$327*'2_Cleaned_Data'!G102+'5_Multiple_Regression'!$B$328*'2_Cleaned_Data'!I102+'5_Multiple_Regression'!$B$329*IF('2_Cleaned_Data'!D102="Airport",1,0)+'5_Multiple_Regression'!$B$330*IF('2_Cleaned_Data'!D102="High Street",1,0)+'5_Multiple_Regression'!$B$331*IF('2_Cleaned_Data'!D102="Mall",1,0)</f>
        <v>538285.80404746474</v>
      </c>
      <c r="G99" s="12">
        <f>E99-F99</f>
        <v>87228.235952535295</v>
      </c>
      <c r="H99" s="13">
        <f>G99/E99*100</f>
        <v>13.945048452075559</v>
      </c>
    </row>
    <row r="100" spans="1:8" x14ac:dyDescent="0.45">
      <c r="A100" s="5" t="str">
        <f>'2_Cleaned_Data'!A99</f>
        <v>STR-1026</v>
      </c>
      <c r="B100" s="18">
        <f>'2_Cleaned_Data'!B99</f>
        <v>45658</v>
      </c>
      <c r="C100" s="5" t="str">
        <f>'2_Cleaned_Data'!C99</f>
        <v>East</v>
      </c>
      <c r="D100" s="5" t="str">
        <f>'2_Cleaned_Data'!D99</f>
        <v>Mall</v>
      </c>
      <c r="E100" s="12">
        <f>'2_Cleaned_Data'!M99</f>
        <v>635181.35</v>
      </c>
      <c r="F100" s="12">
        <f>'5_Multiple_Regression'!$B$324+'5_Multiple_Regression'!$B$325*'2_Cleaned_Data'!E99+'5_Multiple_Regression'!$B$326*'2_Cleaned_Data'!F99+'5_Multiple_Regression'!$B$327*'2_Cleaned_Data'!G99+'5_Multiple_Regression'!$B$328*'2_Cleaned_Data'!I99+'5_Multiple_Regression'!$B$329*IF('2_Cleaned_Data'!D99="Airport",1,0)+'5_Multiple_Regression'!$B$330*IF('2_Cleaned_Data'!D99="High Street",1,0)+'5_Multiple_Regression'!$B$331*IF('2_Cleaned_Data'!D99="Mall",1,0)</f>
        <v>598008.62319744984</v>
      </c>
      <c r="G100" s="12">
        <f>E100-F100</f>
        <v>37172.72680255014</v>
      </c>
      <c r="H100" s="13">
        <f>G100/E100*100</f>
        <v>5.8523013628391549</v>
      </c>
    </row>
    <row r="101" spans="1:8" x14ac:dyDescent="0.45">
      <c r="A101" s="5" t="str">
        <f>'2_Cleaned_Data'!A101</f>
        <v>STR-1026</v>
      </c>
      <c r="B101" s="18">
        <f>'2_Cleaned_Data'!B101</f>
        <v>45717</v>
      </c>
      <c r="C101" s="5" t="str">
        <f>'2_Cleaned_Data'!C101</f>
        <v>East</v>
      </c>
      <c r="D101" s="5" t="str">
        <f>'2_Cleaned_Data'!D101</f>
        <v>Mall</v>
      </c>
      <c r="E101" s="12">
        <f>'2_Cleaned_Data'!M101</f>
        <v>740102.64</v>
      </c>
      <c r="F101" s="12">
        <f>'5_Multiple_Regression'!$B$324+'5_Multiple_Regression'!$B$325*'2_Cleaned_Data'!E101+'5_Multiple_Regression'!$B$326*'2_Cleaned_Data'!F101+'5_Multiple_Regression'!$B$327*'2_Cleaned_Data'!G101+'5_Multiple_Regression'!$B$328*'2_Cleaned_Data'!I101+'5_Multiple_Regression'!$B$329*IF('2_Cleaned_Data'!D101="Airport",1,0)+'5_Multiple_Regression'!$B$330*IF('2_Cleaned_Data'!D101="High Street",1,0)+'5_Multiple_Regression'!$B$331*IF('2_Cleaned_Data'!D101="Mall",1,0)</f>
        <v>715522.86121019861</v>
      </c>
      <c r="G101" s="12">
        <f>E101-F101</f>
        <v>24579.778789801407</v>
      </c>
      <c r="H101" s="13">
        <f>G101/E101*100</f>
        <v>3.3211310784949246</v>
      </c>
    </row>
    <row r="102" spans="1:8" x14ac:dyDescent="0.45">
      <c r="A102" s="5" t="str">
        <f>'2_Cleaned_Data'!A100</f>
        <v>STR-1026</v>
      </c>
      <c r="B102" s="18">
        <f>'2_Cleaned_Data'!B100</f>
        <v>45689</v>
      </c>
      <c r="C102" s="5" t="str">
        <f>'2_Cleaned_Data'!C100</f>
        <v>East</v>
      </c>
      <c r="D102" s="5" t="str">
        <f>'2_Cleaned_Data'!D100</f>
        <v>Mall</v>
      </c>
      <c r="E102" s="12">
        <f>'2_Cleaned_Data'!M100</f>
        <v>586626.93999999994</v>
      </c>
      <c r="F102" s="12">
        <f>'5_Multiple_Regression'!$B$324+'5_Multiple_Regression'!$B$325*'2_Cleaned_Data'!E100+'5_Multiple_Regression'!$B$326*'2_Cleaned_Data'!F100+'5_Multiple_Regression'!$B$327*'2_Cleaned_Data'!G100+'5_Multiple_Regression'!$B$328*'2_Cleaned_Data'!I100+'5_Multiple_Regression'!$B$329*IF('2_Cleaned_Data'!D100="Airport",1,0)+'5_Multiple_Regression'!$B$330*IF('2_Cleaned_Data'!D100="High Street",1,0)+'5_Multiple_Regression'!$B$331*IF('2_Cleaned_Data'!D100="Mall",1,0)</f>
        <v>630152.64280054881</v>
      </c>
      <c r="G102" s="12">
        <f>E102-F102</f>
        <v>-43525.702800548868</v>
      </c>
      <c r="H102" s="13">
        <f>G102/E102*100</f>
        <v>-7.4196563152297221</v>
      </c>
    </row>
    <row r="103" spans="1:8" x14ac:dyDescent="0.45">
      <c r="A103" s="5" t="str">
        <f>'2_Cleaned_Data'!A105</f>
        <v>STR-1027</v>
      </c>
      <c r="B103" s="18">
        <f>'2_Cleaned_Data'!B105</f>
        <v>45717</v>
      </c>
      <c r="C103" s="5" t="str">
        <f>'2_Cleaned_Data'!C105</f>
        <v>West</v>
      </c>
      <c r="D103" s="5" t="str">
        <f>'2_Cleaned_Data'!D105</f>
        <v>High Street</v>
      </c>
      <c r="E103" s="12">
        <f>'2_Cleaned_Data'!M105</f>
        <v>795153.84</v>
      </c>
      <c r="F103" s="12">
        <f>'5_Multiple_Regression'!$B$324+'5_Multiple_Regression'!$B$325*'2_Cleaned_Data'!E105+'5_Multiple_Regression'!$B$326*'2_Cleaned_Data'!F105+'5_Multiple_Regression'!$B$327*'2_Cleaned_Data'!G105+'5_Multiple_Regression'!$B$328*'2_Cleaned_Data'!I105+'5_Multiple_Regression'!$B$329*IF('2_Cleaned_Data'!D105="Airport",1,0)+'5_Multiple_Regression'!$B$330*IF('2_Cleaned_Data'!D105="High Street",1,0)+'5_Multiple_Regression'!$B$331*IF('2_Cleaned_Data'!D105="Mall",1,0)</f>
        <v>720854.41437855747</v>
      </c>
      <c r="G103" s="12">
        <f>E103-F103</f>
        <v>74299.425621442497</v>
      </c>
      <c r="H103" s="13">
        <f>G103/E103*100</f>
        <v>9.3440315425556513</v>
      </c>
    </row>
    <row r="104" spans="1:8" x14ac:dyDescent="0.45">
      <c r="A104" s="5" t="str">
        <f>'2_Cleaned_Data'!A103</f>
        <v>STR-1027</v>
      </c>
      <c r="B104" s="18">
        <f>'2_Cleaned_Data'!B103</f>
        <v>45658</v>
      </c>
      <c r="C104" s="5" t="str">
        <f>'2_Cleaned_Data'!C103</f>
        <v>West</v>
      </c>
      <c r="D104" s="5" t="str">
        <f>'2_Cleaned_Data'!D103</f>
        <v>High Street</v>
      </c>
      <c r="E104" s="12">
        <f>'2_Cleaned_Data'!M103</f>
        <v>727227.2</v>
      </c>
      <c r="F104" s="12">
        <f>'5_Multiple_Regression'!$B$324+'5_Multiple_Regression'!$B$325*'2_Cleaned_Data'!E103+'5_Multiple_Regression'!$B$326*'2_Cleaned_Data'!F103+'5_Multiple_Regression'!$B$327*'2_Cleaned_Data'!G103+'5_Multiple_Regression'!$B$328*'2_Cleaned_Data'!I103+'5_Multiple_Regression'!$B$329*IF('2_Cleaned_Data'!D103="Airport",1,0)+'5_Multiple_Regression'!$B$330*IF('2_Cleaned_Data'!D103="High Street",1,0)+'5_Multiple_Regression'!$B$331*IF('2_Cleaned_Data'!D103="Mall",1,0)</f>
        <v>694564.52517497889</v>
      </c>
      <c r="G104" s="12">
        <f>E104-F104</f>
        <v>32662.674825021066</v>
      </c>
      <c r="H104" s="13">
        <f>G104/E104*100</f>
        <v>4.4913989500146672</v>
      </c>
    </row>
    <row r="105" spans="1:8" x14ac:dyDescent="0.45">
      <c r="A105" s="5" t="str">
        <f>'2_Cleaned_Data'!A106</f>
        <v>STR-1027</v>
      </c>
      <c r="B105" s="18">
        <f>'2_Cleaned_Data'!B106</f>
        <v>45748</v>
      </c>
      <c r="C105" s="5" t="str">
        <f>'2_Cleaned_Data'!C106</f>
        <v>West</v>
      </c>
      <c r="D105" s="5" t="str">
        <f>'2_Cleaned_Data'!D106</f>
        <v>High Street</v>
      </c>
      <c r="E105" s="12">
        <f>'2_Cleaned_Data'!M106</f>
        <v>665594.93999999994</v>
      </c>
      <c r="F105" s="12">
        <f>'5_Multiple_Regression'!$B$324+'5_Multiple_Regression'!$B$325*'2_Cleaned_Data'!E106+'5_Multiple_Regression'!$B$326*'2_Cleaned_Data'!F106+'5_Multiple_Regression'!$B$327*'2_Cleaned_Data'!G106+'5_Multiple_Regression'!$B$328*'2_Cleaned_Data'!I106+'5_Multiple_Regression'!$B$329*IF('2_Cleaned_Data'!D106="Airport",1,0)+'5_Multiple_Regression'!$B$330*IF('2_Cleaned_Data'!D106="High Street",1,0)+'5_Multiple_Regression'!$B$331*IF('2_Cleaned_Data'!D106="Mall",1,0)</f>
        <v>670433.24664047046</v>
      </c>
      <c r="G105" s="12">
        <f>E105-F105</f>
        <v>-4838.3066404705169</v>
      </c>
      <c r="H105" s="13">
        <f>G105/E105*100</f>
        <v>-0.72691457667489445</v>
      </c>
    </row>
    <row r="106" spans="1:8" x14ac:dyDescent="0.45">
      <c r="A106" s="5" t="str">
        <f>'2_Cleaned_Data'!A104</f>
        <v>STR-1027</v>
      </c>
      <c r="B106" s="18">
        <f>'2_Cleaned_Data'!B104</f>
        <v>45689</v>
      </c>
      <c r="C106" s="5" t="str">
        <f>'2_Cleaned_Data'!C104</f>
        <v>West</v>
      </c>
      <c r="D106" s="5" t="str">
        <f>'2_Cleaned_Data'!D104</f>
        <v>High Street</v>
      </c>
      <c r="E106" s="12">
        <f>'2_Cleaned_Data'!M104</f>
        <v>783797.89</v>
      </c>
      <c r="F106" s="12">
        <f>'5_Multiple_Regression'!$B$324+'5_Multiple_Regression'!$B$325*'2_Cleaned_Data'!E104+'5_Multiple_Regression'!$B$326*'2_Cleaned_Data'!F104+'5_Multiple_Regression'!$B$327*'2_Cleaned_Data'!G104+'5_Multiple_Regression'!$B$328*'2_Cleaned_Data'!I104+'5_Multiple_Regression'!$B$329*IF('2_Cleaned_Data'!D104="Airport",1,0)+'5_Multiple_Regression'!$B$330*IF('2_Cleaned_Data'!D104="High Street",1,0)+'5_Multiple_Regression'!$B$331*IF('2_Cleaned_Data'!D104="Mall",1,0)</f>
        <v>789249.26759276842</v>
      </c>
      <c r="G106" s="12">
        <f>E106-F106</f>
        <v>-5451.3775927684037</v>
      </c>
      <c r="H106" s="13">
        <f>G106/E106*100</f>
        <v>-0.69550807195569297</v>
      </c>
    </row>
    <row r="107" spans="1:8" x14ac:dyDescent="0.45">
      <c r="A107" s="5" t="str">
        <f>'2_Cleaned_Data'!A110</f>
        <v>STR-1028</v>
      </c>
      <c r="B107" s="18">
        <f>'2_Cleaned_Data'!B110</f>
        <v>45748</v>
      </c>
      <c r="C107" s="5" t="str">
        <f>'2_Cleaned_Data'!C110</f>
        <v>East</v>
      </c>
      <c r="D107" s="5" t="str">
        <f>'2_Cleaned_Data'!D110</f>
        <v>Mall</v>
      </c>
      <c r="E107" s="12">
        <f>'2_Cleaned_Data'!M110</f>
        <v>713611.16</v>
      </c>
      <c r="F107" s="12">
        <f>'5_Multiple_Regression'!$B$324+'5_Multiple_Regression'!$B$325*'2_Cleaned_Data'!E110+'5_Multiple_Regression'!$B$326*'2_Cleaned_Data'!F110+'5_Multiple_Regression'!$B$327*'2_Cleaned_Data'!G110+'5_Multiple_Regression'!$B$328*'2_Cleaned_Data'!I110+'5_Multiple_Regression'!$B$329*IF('2_Cleaned_Data'!D110="Airport",1,0)+'5_Multiple_Regression'!$B$330*IF('2_Cleaned_Data'!D110="High Street",1,0)+'5_Multiple_Regression'!$B$331*IF('2_Cleaned_Data'!D110="Mall",1,0)</f>
        <v>617601.62540410273</v>
      </c>
      <c r="G107" s="12">
        <f>E107-F107</f>
        <v>96009.534595897305</v>
      </c>
      <c r="H107" s="13">
        <f>G107/E107*100</f>
        <v>13.454040516392329</v>
      </c>
    </row>
    <row r="108" spans="1:8" x14ac:dyDescent="0.45">
      <c r="A108" s="5" t="str">
        <f>'2_Cleaned_Data'!A107</f>
        <v>STR-1028</v>
      </c>
      <c r="B108" s="18">
        <f>'2_Cleaned_Data'!B107</f>
        <v>45658</v>
      </c>
      <c r="C108" s="5" t="str">
        <f>'2_Cleaned_Data'!C107</f>
        <v>East</v>
      </c>
      <c r="D108" s="5" t="str">
        <f>'2_Cleaned_Data'!D107</f>
        <v>Mall</v>
      </c>
      <c r="E108" s="12">
        <f>'2_Cleaned_Data'!M107</f>
        <v>709478.39</v>
      </c>
      <c r="F108" s="12">
        <f>'5_Multiple_Regression'!$B$324+'5_Multiple_Regression'!$B$325*'2_Cleaned_Data'!E107+'5_Multiple_Regression'!$B$326*'2_Cleaned_Data'!F107+'5_Multiple_Regression'!$B$327*'2_Cleaned_Data'!G107+'5_Multiple_Regression'!$B$328*'2_Cleaned_Data'!I107+'5_Multiple_Regression'!$B$329*IF('2_Cleaned_Data'!D107="Airport",1,0)+'5_Multiple_Regression'!$B$330*IF('2_Cleaned_Data'!D107="High Street",1,0)+'5_Multiple_Regression'!$B$331*IF('2_Cleaned_Data'!D107="Mall",1,0)</f>
        <v>685691.24389949115</v>
      </c>
      <c r="G108" s="12">
        <f>E108-F108</f>
        <v>23787.146100508864</v>
      </c>
      <c r="H108" s="13">
        <f>G108/E108*100</f>
        <v>3.3527654169295928</v>
      </c>
    </row>
    <row r="109" spans="1:8" x14ac:dyDescent="0.45">
      <c r="A109" s="5" t="str">
        <f>'2_Cleaned_Data'!A108</f>
        <v>STR-1028</v>
      </c>
      <c r="B109" s="18">
        <f>'2_Cleaned_Data'!B108</f>
        <v>45689</v>
      </c>
      <c r="C109" s="5" t="str">
        <f>'2_Cleaned_Data'!C108</f>
        <v>East</v>
      </c>
      <c r="D109" s="5" t="str">
        <f>'2_Cleaned_Data'!D108</f>
        <v>Mall</v>
      </c>
      <c r="E109" s="12">
        <f>'2_Cleaned_Data'!M108</f>
        <v>664162.49</v>
      </c>
      <c r="F109" s="12">
        <f>'5_Multiple_Regression'!$B$324+'5_Multiple_Regression'!$B$325*'2_Cleaned_Data'!E108+'5_Multiple_Regression'!$B$326*'2_Cleaned_Data'!F108+'5_Multiple_Regression'!$B$327*'2_Cleaned_Data'!G108+'5_Multiple_Regression'!$B$328*'2_Cleaned_Data'!I108+'5_Multiple_Regression'!$B$329*IF('2_Cleaned_Data'!D108="Airport",1,0)+'5_Multiple_Regression'!$B$330*IF('2_Cleaned_Data'!D108="High Street",1,0)+'5_Multiple_Regression'!$B$331*IF('2_Cleaned_Data'!D108="Mall",1,0)</f>
        <v>657734.96733361809</v>
      </c>
      <c r="G109" s="12">
        <f>E109-F109</f>
        <v>6427.5226663819049</v>
      </c>
      <c r="H109" s="13">
        <f>G109/E109*100</f>
        <v>0.96776357640762056</v>
      </c>
    </row>
    <row r="110" spans="1:8" x14ac:dyDescent="0.45">
      <c r="A110" s="5" t="str">
        <f>'2_Cleaned_Data'!A109</f>
        <v>STR-1028</v>
      </c>
      <c r="B110" s="18">
        <f>'2_Cleaned_Data'!B109</f>
        <v>45717</v>
      </c>
      <c r="C110" s="5" t="str">
        <f>'2_Cleaned_Data'!C109</f>
        <v>East</v>
      </c>
      <c r="D110" s="5" t="str">
        <f>'2_Cleaned_Data'!D109</f>
        <v>Mall</v>
      </c>
      <c r="E110" s="12">
        <f>'2_Cleaned_Data'!M109</f>
        <v>633494.21</v>
      </c>
      <c r="F110" s="12">
        <f>'5_Multiple_Regression'!$B$324+'5_Multiple_Regression'!$B$325*'2_Cleaned_Data'!E109+'5_Multiple_Regression'!$B$326*'2_Cleaned_Data'!F109+'5_Multiple_Regression'!$B$327*'2_Cleaned_Data'!G109+'5_Multiple_Regression'!$B$328*'2_Cleaned_Data'!I109+'5_Multiple_Regression'!$B$329*IF('2_Cleaned_Data'!D109="Airport",1,0)+'5_Multiple_Regression'!$B$330*IF('2_Cleaned_Data'!D109="High Street",1,0)+'5_Multiple_Regression'!$B$331*IF('2_Cleaned_Data'!D109="Mall",1,0)</f>
        <v>663369.31791159732</v>
      </c>
      <c r="G110" s="12">
        <f>E110-F110</f>
        <v>-29875.107911597355</v>
      </c>
      <c r="H110" s="13">
        <f>G110/E110*100</f>
        <v>-4.7159243825760235</v>
      </c>
    </row>
    <row r="111" spans="1:8" x14ac:dyDescent="0.45">
      <c r="A111" s="5" t="str">
        <f>'2_Cleaned_Data'!A112</f>
        <v>STR-1029</v>
      </c>
      <c r="B111" s="18">
        <f>'2_Cleaned_Data'!B112</f>
        <v>45689</v>
      </c>
      <c r="C111" s="5" t="str">
        <f>'2_Cleaned_Data'!C112</f>
        <v>West</v>
      </c>
      <c r="D111" s="5" t="str">
        <f>'2_Cleaned_Data'!D112</f>
        <v>Mall</v>
      </c>
      <c r="E111" s="12">
        <f>'2_Cleaned_Data'!M112</f>
        <v>873380.02</v>
      </c>
      <c r="F111" s="12">
        <f>'5_Multiple_Regression'!$B$324+'5_Multiple_Regression'!$B$325*'2_Cleaned_Data'!E112+'5_Multiple_Regression'!$B$326*'2_Cleaned_Data'!F112+'5_Multiple_Regression'!$B$327*'2_Cleaned_Data'!G112+'5_Multiple_Regression'!$B$328*'2_Cleaned_Data'!I112+'5_Multiple_Regression'!$B$329*IF('2_Cleaned_Data'!D112="Airport",1,0)+'5_Multiple_Regression'!$B$330*IF('2_Cleaned_Data'!D112="High Street",1,0)+'5_Multiple_Regression'!$B$331*IF('2_Cleaned_Data'!D112="Mall",1,0)</f>
        <v>834582.01496444643</v>
      </c>
      <c r="G111" s="12">
        <f>E111-F111</f>
        <v>38798.005035553593</v>
      </c>
      <c r="H111" s="13">
        <f>G111/E111*100</f>
        <v>4.4422821849707059</v>
      </c>
    </row>
    <row r="112" spans="1:8" x14ac:dyDescent="0.45">
      <c r="A112" s="5" t="str">
        <f>'2_Cleaned_Data'!A111</f>
        <v>STR-1029</v>
      </c>
      <c r="B112" s="18">
        <f>'2_Cleaned_Data'!B111</f>
        <v>45658</v>
      </c>
      <c r="C112" s="5" t="str">
        <f>'2_Cleaned_Data'!C111</f>
        <v>West</v>
      </c>
      <c r="D112" s="5" t="str">
        <f>'2_Cleaned_Data'!D111</f>
        <v>Mall</v>
      </c>
      <c r="E112" s="12">
        <f>'2_Cleaned_Data'!M111</f>
        <v>778397.97</v>
      </c>
      <c r="F112" s="12">
        <f>'5_Multiple_Regression'!$B$324+'5_Multiple_Regression'!$B$325*'2_Cleaned_Data'!E111+'5_Multiple_Regression'!$B$326*'2_Cleaned_Data'!F111+'5_Multiple_Regression'!$B$327*'2_Cleaned_Data'!G111+'5_Multiple_Regression'!$B$328*'2_Cleaned_Data'!I111+'5_Multiple_Regression'!$B$329*IF('2_Cleaned_Data'!D111="Airport",1,0)+'5_Multiple_Regression'!$B$330*IF('2_Cleaned_Data'!D111="High Street",1,0)+'5_Multiple_Regression'!$B$331*IF('2_Cleaned_Data'!D111="Mall",1,0)</f>
        <v>743012.59351590974</v>
      </c>
      <c r="G112" s="12">
        <f>E112-F112</f>
        <v>35385.376484090229</v>
      </c>
      <c r="H112" s="13">
        <f>G112/E112*100</f>
        <v>4.5459235311328259</v>
      </c>
    </row>
    <row r="113" spans="1:8" x14ac:dyDescent="0.45">
      <c r="A113" s="5" t="str">
        <f>'2_Cleaned_Data'!A114</f>
        <v>STR-1029</v>
      </c>
      <c r="B113" s="18">
        <f>'2_Cleaned_Data'!B114</f>
        <v>45748</v>
      </c>
      <c r="C113" s="5" t="str">
        <f>'2_Cleaned_Data'!C114</f>
        <v>West</v>
      </c>
      <c r="D113" s="5" t="str">
        <f>'2_Cleaned_Data'!D114</f>
        <v>Mall</v>
      </c>
      <c r="E113" s="12">
        <f>'2_Cleaned_Data'!M114</f>
        <v>718074.79</v>
      </c>
      <c r="F113" s="12">
        <f>'5_Multiple_Regression'!$B$324+'5_Multiple_Regression'!$B$325*'2_Cleaned_Data'!E114+'5_Multiple_Regression'!$B$326*'2_Cleaned_Data'!F114+'5_Multiple_Regression'!$B$327*'2_Cleaned_Data'!G114+'5_Multiple_Regression'!$B$328*'2_Cleaned_Data'!I114+'5_Multiple_Regression'!$B$329*IF('2_Cleaned_Data'!D114="Airport",1,0)+'5_Multiple_Regression'!$B$330*IF('2_Cleaned_Data'!D114="High Street",1,0)+'5_Multiple_Regression'!$B$331*IF('2_Cleaned_Data'!D114="Mall",1,0)</f>
        <v>758658.7774177161</v>
      </c>
      <c r="G113" s="12">
        <f>E113-F113</f>
        <v>-40583.987417716067</v>
      </c>
      <c r="H113" s="13">
        <f>G113/E113*100</f>
        <v>-5.6517772219403586</v>
      </c>
    </row>
    <row r="114" spans="1:8" x14ac:dyDescent="0.45">
      <c r="A114" s="5" t="str">
        <f>'2_Cleaned_Data'!A113</f>
        <v>STR-1029</v>
      </c>
      <c r="B114" s="18">
        <f>'2_Cleaned_Data'!B113</f>
        <v>45717</v>
      </c>
      <c r="C114" s="5" t="str">
        <f>'2_Cleaned_Data'!C113</f>
        <v>West</v>
      </c>
      <c r="D114" s="5" t="str">
        <f>'2_Cleaned_Data'!D113</f>
        <v>Mall</v>
      </c>
      <c r="E114" s="12">
        <f>'2_Cleaned_Data'!M113</f>
        <v>697287.9</v>
      </c>
      <c r="F114" s="12">
        <f>'5_Multiple_Regression'!$B$324+'5_Multiple_Regression'!$B$325*'2_Cleaned_Data'!E113+'5_Multiple_Regression'!$B$326*'2_Cleaned_Data'!F113+'5_Multiple_Regression'!$B$327*'2_Cleaned_Data'!G113+'5_Multiple_Regression'!$B$328*'2_Cleaned_Data'!I113+'5_Multiple_Regression'!$B$329*IF('2_Cleaned_Data'!D113="Airport",1,0)+'5_Multiple_Regression'!$B$330*IF('2_Cleaned_Data'!D113="High Street",1,0)+'5_Multiple_Regression'!$B$331*IF('2_Cleaned_Data'!D113="Mall",1,0)</f>
        <v>754045.81305337581</v>
      </c>
      <c r="G114" s="12">
        <f>E114-F114</f>
        <v>-56757.913053375785</v>
      </c>
      <c r="H114" s="13">
        <f>G114/E114*100</f>
        <v>-8.1398104073476354</v>
      </c>
    </row>
    <row r="115" spans="1:8" x14ac:dyDescent="0.45">
      <c r="A115" s="5" t="str">
        <f>'2_Cleaned_Data'!A116</f>
        <v>STR-1030</v>
      </c>
      <c r="B115" s="18">
        <f>'2_Cleaned_Data'!B116</f>
        <v>45689</v>
      </c>
      <c r="C115" s="5" t="str">
        <f>'2_Cleaned_Data'!C116</f>
        <v>West</v>
      </c>
      <c r="D115" s="5" t="str">
        <f>'2_Cleaned_Data'!D116</f>
        <v>Residential</v>
      </c>
      <c r="E115" s="12">
        <f>'2_Cleaned_Data'!M116</f>
        <v>820519.04</v>
      </c>
      <c r="F115" s="12">
        <f>'5_Multiple_Regression'!$B$324+'5_Multiple_Regression'!$B$325*'2_Cleaned_Data'!E116+'5_Multiple_Regression'!$B$326*'2_Cleaned_Data'!F116+'5_Multiple_Regression'!$B$327*'2_Cleaned_Data'!G116+'5_Multiple_Regression'!$B$328*'2_Cleaned_Data'!I116+'5_Multiple_Regression'!$B$329*IF('2_Cleaned_Data'!D116="Airport",1,0)+'5_Multiple_Regression'!$B$330*IF('2_Cleaned_Data'!D116="High Street",1,0)+'5_Multiple_Regression'!$B$331*IF('2_Cleaned_Data'!D116="Mall",1,0)</f>
        <v>717684.65941515507</v>
      </c>
      <c r="G115" s="12">
        <f>E115-F115</f>
        <v>102834.38058484497</v>
      </c>
      <c r="H115" s="13">
        <f>G115/E115*100</f>
        <v>12.532845134811858</v>
      </c>
    </row>
    <row r="116" spans="1:8" x14ac:dyDescent="0.45">
      <c r="A116" s="5" t="str">
        <f>'2_Cleaned_Data'!A115</f>
        <v>STR-1030</v>
      </c>
      <c r="B116" s="18">
        <f>'2_Cleaned_Data'!B115</f>
        <v>45658</v>
      </c>
      <c r="C116" s="5" t="str">
        <f>'2_Cleaned_Data'!C115</f>
        <v>West</v>
      </c>
      <c r="D116" s="5" t="str">
        <f>'2_Cleaned_Data'!D115</f>
        <v>Residential</v>
      </c>
      <c r="E116" s="12">
        <f>'2_Cleaned_Data'!M115</f>
        <v>714942.43</v>
      </c>
      <c r="F116" s="12">
        <f>'5_Multiple_Regression'!$B$324+'5_Multiple_Regression'!$B$325*'2_Cleaned_Data'!E115+'5_Multiple_Regression'!$B$326*'2_Cleaned_Data'!F115+'5_Multiple_Regression'!$B$327*'2_Cleaned_Data'!G115+'5_Multiple_Regression'!$B$328*'2_Cleaned_Data'!I115+'5_Multiple_Regression'!$B$329*IF('2_Cleaned_Data'!D115="Airport",1,0)+'5_Multiple_Regression'!$B$330*IF('2_Cleaned_Data'!D115="High Street",1,0)+'5_Multiple_Regression'!$B$331*IF('2_Cleaned_Data'!D115="Mall",1,0)</f>
        <v>698603.13245635713</v>
      </c>
      <c r="G116" s="12">
        <f>E116-F116</f>
        <v>16339.297543642926</v>
      </c>
      <c r="H116" s="13">
        <f>G116/E116*100</f>
        <v>2.2854004543614685</v>
      </c>
    </row>
    <row r="117" spans="1:8" x14ac:dyDescent="0.45">
      <c r="A117" s="5" t="str">
        <f>'2_Cleaned_Data'!A118</f>
        <v>STR-1030</v>
      </c>
      <c r="B117" s="18">
        <f>'2_Cleaned_Data'!B118</f>
        <v>45748</v>
      </c>
      <c r="C117" s="5" t="str">
        <f>'2_Cleaned_Data'!C118</f>
        <v>West</v>
      </c>
      <c r="D117" s="5" t="str">
        <f>'2_Cleaned_Data'!D118</f>
        <v>Residential</v>
      </c>
      <c r="E117" s="12">
        <f>'2_Cleaned_Data'!M118</f>
        <v>735480.19</v>
      </c>
      <c r="F117" s="12">
        <f>'5_Multiple_Regression'!$B$324+'5_Multiple_Regression'!$B$325*'2_Cleaned_Data'!E118+'5_Multiple_Regression'!$B$326*'2_Cleaned_Data'!F118+'5_Multiple_Regression'!$B$327*'2_Cleaned_Data'!G118+'5_Multiple_Regression'!$B$328*'2_Cleaned_Data'!I118+'5_Multiple_Regression'!$B$329*IF('2_Cleaned_Data'!D118="Airport",1,0)+'5_Multiple_Regression'!$B$330*IF('2_Cleaned_Data'!D118="High Street",1,0)+'5_Multiple_Regression'!$B$331*IF('2_Cleaned_Data'!D118="Mall",1,0)</f>
        <v>722567.72079411568</v>
      </c>
      <c r="G117" s="12">
        <f>E117-F117</f>
        <v>12912.469205884263</v>
      </c>
      <c r="H117" s="13">
        <f>G117/E117*100</f>
        <v>1.7556515296332134</v>
      </c>
    </row>
    <row r="118" spans="1:8" x14ac:dyDescent="0.45">
      <c r="A118" s="5" t="str">
        <f>'2_Cleaned_Data'!A117</f>
        <v>STR-1030</v>
      </c>
      <c r="B118" s="18">
        <f>'2_Cleaned_Data'!B117</f>
        <v>45717</v>
      </c>
      <c r="C118" s="5" t="str">
        <f>'2_Cleaned_Data'!C117</f>
        <v>West</v>
      </c>
      <c r="D118" s="5" t="str">
        <f>'2_Cleaned_Data'!D117</f>
        <v>Residential</v>
      </c>
      <c r="E118" s="12">
        <f>'2_Cleaned_Data'!M117</f>
        <v>684217.32</v>
      </c>
      <c r="F118" s="12">
        <f>'5_Multiple_Regression'!$B$324+'5_Multiple_Regression'!$B$325*'2_Cleaned_Data'!E117+'5_Multiple_Regression'!$B$326*'2_Cleaned_Data'!F117+'5_Multiple_Regression'!$B$327*'2_Cleaned_Data'!G117+'5_Multiple_Regression'!$B$328*'2_Cleaned_Data'!I117+'5_Multiple_Regression'!$B$329*IF('2_Cleaned_Data'!D117="Airport",1,0)+'5_Multiple_Regression'!$B$330*IF('2_Cleaned_Data'!D117="High Street",1,0)+'5_Multiple_Regression'!$B$331*IF('2_Cleaned_Data'!D117="Mall",1,0)</f>
        <v>739781.87682617689</v>
      </c>
      <c r="G118" s="12">
        <f>E118-F118</f>
        <v>-55564.556826176937</v>
      </c>
      <c r="H118" s="13">
        <f>G118/E118*100</f>
        <v>-8.1208930557585024</v>
      </c>
    </row>
    <row r="119" spans="1:8" x14ac:dyDescent="0.45">
      <c r="A119" s="5" t="str">
        <f>'2_Cleaned_Data'!A120</f>
        <v>STR-1031</v>
      </c>
      <c r="B119" s="18">
        <f>'2_Cleaned_Data'!B120</f>
        <v>45689</v>
      </c>
      <c r="C119" s="5" t="str">
        <f>'2_Cleaned_Data'!C120</f>
        <v>North</v>
      </c>
      <c r="D119" s="5" t="str">
        <f>'2_Cleaned_Data'!D120</f>
        <v>High Street</v>
      </c>
      <c r="E119" s="12">
        <f>'2_Cleaned_Data'!M120</f>
        <v>654317.09</v>
      </c>
      <c r="F119" s="12">
        <f>'5_Multiple_Regression'!$B$324+'5_Multiple_Regression'!$B$325*'2_Cleaned_Data'!E120+'5_Multiple_Regression'!$B$326*'2_Cleaned_Data'!F120+'5_Multiple_Regression'!$B$327*'2_Cleaned_Data'!G120+'5_Multiple_Regression'!$B$328*'2_Cleaned_Data'!I120+'5_Multiple_Regression'!$B$329*IF('2_Cleaned_Data'!D120="Airport",1,0)+'5_Multiple_Regression'!$B$330*IF('2_Cleaned_Data'!D120="High Street",1,0)+'5_Multiple_Regression'!$B$331*IF('2_Cleaned_Data'!D120="Mall",1,0)</f>
        <v>625645.86278929317</v>
      </c>
      <c r="G119" s="12">
        <f>E119-F119</f>
        <v>28671.227210706798</v>
      </c>
      <c r="H119" s="13">
        <f>G119/E119*100</f>
        <v>4.3818551660796148</v>
      </c>
    </row>
    <row r="120" spans="1:8" x14ac:dyDescent="0.45">
      <c r="A120" s="5" t="str">
        <f>'2_Cleaned_Data'!A121</f>
        <v>STR-1031</v>
      </c>
      <c r="B120" s="18">
        <f>'2_Cleaned_Data'!B121</f>
        <v>45717</v>
      </c>
      <c r="C120" s="5" t="str">
        <f>'2_Cleaned_Data'!C121</f>
        <v>North</v>
      </c>
      <c r="D120" s="5" t="str">
        <f>'2_Cleaned_Data'!D121</f>
        <v>High Street</v>
      </c>
      <c r="E120" s="12">
        <f>'2_Cleaned_Data'!M121</f>
        <v>557487.26</v>
      </c>
      <c r="F120" s="12">
        <f>'5_Multiple_Regression'!$B$324+'5_Multiple_Regression'!$B$325*'2_Cleaned_Data'!E121+'5_Multiple_Regression'!$B$326*'2_Cleaned_Data'!F121+'5_Multiple_Regression'!$B$327*'2_Cleaned_Data'!G121+'5_Multiple_Regression'!$B$328*'2_Cleaned_Data'!I121+'5_Multiple_Regression'!$B$329*IF('2_Cleaned_Data'!D121="Airport",1,0)+'5_Multiple_Regression'!$B$330*IF('2_Cleaned_Data'!D121="High Street",1,0)+'5_Multiple_Regression'!$B$331*IF('2_Cleaned_Data'!D121="Mall",1,0)</f>
        <v>595758.30845812359</v>
      </c>
      <c r="G120" s="12">
        <f>E120-F120</f>
        <v>-38271.04845812358</v>
      </c>
      <c r="H120" s="13">
        <f>G120/E120*100</f>
        <v>-6.8649189325193873</v>
      </c>
    </row>
    <row r="121" spans="1:8" x14ac:dyDescent="0.45">
      <c r="A121" s="5" t="str">
        <f>'2_Cleaned_Data'!A119</f>
        <v>STR-1031</v>
      </c>
      <c r="B121" s="18">
        <f>'2_Cleaned_Data'!B119</f>
        <v>45658</v>
      </c>
      <c r="C121" s="5" t="str">
        <f>'2_Cleaned_Data'!C119</f>
        <v>North</v>
      </c>
      <c r="D121" s="5" t="str">
        <f>'2_Cleaned_Data'!D119</f>
        <v>High Street</v>
      </c>
      <c r="E121" s="12">
        <f>'2_Cleaned_Data'!M119</f>
        <v>509484.81</v>
      </c>
      <c r="F121" s="12">
        <f>'5_Multiple_Regression'!$B$324+'5_Multiple_Regression'!$B$325*'2_Cleaned_Data'!E119+'5_Multiple_Regression'!$B$326*'2_Cleaned_Data'!F119+'5_Multiple_Regression'!$B$327*'2_Cleaned_Data'!G119+'5_Multiple_Regression'!$B$328*'2_Cleaned_Data'!I119+'5_Multiple_Regression'!$B$329*IF('2_Cleaned_Data'!D119="Airport",1,0)+'5_Multiple_Regression'!$B$330*IF('2_Cleaned_Data'!D119="High Street",1,0)+'5_Multiple_Regression'!$B$331*IF('2_Cleaned_Data'!D119="Mall",1,0)</f>
        <v>562734.03600250324</v>
      </c>
      <c r="G121" s="12">
        <f>E121-F121</f>
        <v>-53249.226002503245</v>
      </c>
      <c r="H121" s="13">
        <f>G121/E121*100</f>
        <v>-10.451582649245863</v>
      </c>
    </row>
    <row r="122" spans="1:8" x14ac:dyDescent="0.45">
      <c r="A122" s="5" t="str">
        <f>'2_Cleaned_Data'!A122</f>
        <v>STR-1031</v>
      </c>
      <c r="B122" s="18">
        <f>'2_Cleaned_Data'!B122</f>
        <v>45748</v>
      </c>
      <c r="C122" s="5" t="str">
        <f>'2_Cleaned_Data'!C122</f>
        <v>North</v>
      </c>
      <c r="D122" s="5" t="str">
        <f>'2_Cleaned_Data'!D122</f>
        <v>High Street</v>
      </c>
      <c r="E122" s="12">
        <f>'2_Cleaned_Data'!M122</f>
        <v>441275.42</v>
      </c>
      <c r="F122" s="12">
        <f>'5_Multiple_Regression'!$B$324+'5_Multiple_Regression'!$B$325*'2_Cleaned_Data'!E122+'5_Multiple_Regression'!$B$326*'2_Cleaned_Data'!F122+'5_Multiple_Regression'!$B$327*'2_Cleaned_Data'!G122+'5_Multiple_Regression'!$B$328*'2_Cleaned_Data'!I122+'5_Multiple_Regression'!$B$329*IF('2_Cleaned_Data'!D122="Airport",1,0)+'5_Multiple_Regression'!$B$330*IF('2_Cleaned_Data'!D122="High Street",1,0)+'5_Multiple_Regression'!$B$331*IF('2_Cleaned_Data'!D122="Mall",1,0)</f>
        <v>503413.61676376651</v>
      </c>
      <c r="G122" s="12">
        <f>E122-F122</f>
        <v>-62138.196763766522</v>
      </c>
      <c r="H122" s="13">
        <f>G122/E122*100</f>
        <v>-14.081499659275497</v>
      </c>
    </row>
    <row r="123" spans="1:8" x14ac:dyDescent="0.45">
      <c r="A123" s="5" t="str">
        <f>'2_Cleaned_Data'!A123</f>
        <v>STR-1032</v>
      </c>
      <c r="B123" s="18">
        <f>'2_Cleaned_Data'!B123</f>
        <v>45658</v>
      </c>
      <c r="C123" s="5" t="str">
        <f>'2_Cleaned_Data'!C123</f>
        <v>South</v>
      </c>
      <c r="D123" s="5" t="str">
        <f>'2_Cleaned_Data'!D123</f>
        <v>High Street</v>
      </c>
      <c r="E123" s="12">
        <f>'2_Cleaned_Data'!M123</f>
        <v>914544.17</v>
      </c>
      <c r="F123" s="12">
        <f>'5_Multiple_Regression'!$B$324+'5_Multiple_Regression'!$B$325*'2_Cleaned_Data'!E123+'5_Multiple_Regression'!$B$326*'2_Cleaned_Data'!F123+'5_Multiple_Regression'!$B$327*'2_Cleaned_Data'!G123+'5_Multiple_Regression'!$B$328*'2_Cleaned_Data'!I123+'5_Multiple_Regression'!$B$329*IF('2_Cleaned_Data'!D123="Airport",1,0)+'5_Multiple_Regression'!$B$330*IF('2_Cleaned_Data'!D123="High Street",1,0)+'5_Multiple_Regression'!$B$331*IF('2_Cleaned_Data'!D123="Mall",1,0)</f>
        <v>815637.1127957087</v>
      </c>
      <c r="G123" s="12">
        <f>E123-F123</f>
        <v>98907.057204291341</v>
      </c>
      <c r="H123" s="13">
        <f>G123/E123*100</f>
        <v>10.814902160963022</v>
      </c>
    </row>
    <row r="124" spans="1:8" x14ac:dyDescent="0.45">
      <c r="A124" s="5" t="str">
        <f>'2_Cleaned_Data'!A125</f>
        <v>STR-1032</v>
      </c>
      <c r="B124" s="18">
        <f>'2_Cleaned_Data'!B125</f>
        <v>45717</v>
      </c>
      <c r="C124" s="5" t="str">
        <f>'2_Cleaned_Data'!C125</f>
        <v>South</v>
      </c>
      <c r="D124" s="5" t="str">
        <f>'2_Cleaned_Data'!D125</f>
        <v>High Street</v>
      </c>
      <c r="E124" s="12">
        <f>'2_Cleaned_Data'!M125</f>
        <v>842157.92</v>
      </c>
      <c r="F124" s="12">
        <f>'5_Multiple_Regression'!$B$324+'5_Multiple_Regression'!$B$325*'2_Cleaned_Data'!E125+'5_Multiple_Regression'!$B$326*'2_Cleaned_Data'!F125+'5_Multiple_Regression'!$B$327*'2_Cleaned_Data'!G125+'5_Multiple_Regression'!$B$328*'2_Cleaned_Data'!I125+'5_Multiple_Regression'!$B$329*IF('2_Cleaned_Data'!D125="Airport",1,0)+'5_Multiple_Regression'!$B$330*IF('2_Cleaned_Data'!D125="High Street",1,0)+'5_Multiple_Regression'!$B$331*IF('2_Cleaned_Data'!D125="Mall",1,0)</f>
        <v>778126.63377041975</v>
      </c>
      <c r="G124" s="12">
        <f>E124-F124</f>
        <v>64031.286229580292</v>
      </c>
      <c r="H124" s="13">
        <f>G124/E124*100</f>
        <v>7.6032398091773912</v>
      </c>
    </row>
    <row r="125" spans="1:8" x14ac:dyDescent="0.45">
      <c r="A125" s="5" t="str">
        <f>'2_Cleaned_Data'!A126</f>
        <v>STR-1032</v>
      </c>
      <c r="B125" s="18">
        <f>'2_Cleaned_Data'!B126</f>
        <v>45748</v>
      </c>
      <c r="C125" s="5" t="str">
        <f>'2_Cleaned_Data'!C126</f>
        <v>South</v>
      </c>
      <c r="D125" s="5" t="str">
        <f>'2_Cleaned_Data'!D126</f>
        <v>High Street</v>
      </c>
      <c r="E125" s="12">
        <f>'2_Cleaned_Data'!M126</f>
        <v>697155.3</v>
      </c>
      <c r="F125" s="12">
        <f>'5_Multiple_Regression'!$B$324+'5_Multiple_Regression'!$B$325*'2_Cleaned_Data'!E126+'5_Multiple_Regression'!$B$326*'2_Cleaned_Data'!F126+'5_Multiple_Regression'!$B$327*'2_Cleaned_Data'!G126+'5_Multiple_Regression'!$B$328*'2_Cleaned_Data'!I126+'5_Multiple_Regression'!$B$329*IF('2_Cleaned_Data'!D126="Airport",1,0)+'5_Multiple_Regression'!$B$330*IF('2_Cleaned_Data'!D126="High Street",1,0)+'5_Multiple_Regression'!$B$331*IF('2_Cleaned_Data'!D126="Mall",1,0)</f>
        <v>697808.70618626603</v>
      </c>
      <c r="G125" s="12">
        <f>E125-F125</f>
        <v>-653.40618626598734</v>
      </c>
      <c r="H125" s="13">
        <f>G125/E125*100</f>
        <v>-9.372462437938682E-2</v>
      </c>
    </row>
    <row r="126" spans="1:8" x14ac:dyDescent="0.45">
      <c r="A126" s="5" t="str">
        <f>'2_Cleaned_Data'!A124</f>
        <v>STR-1032</v>
      </c>
      <c r="B126" s="18">
        <f>'2_Cleaned_Data'!B124</f>
        <v>45689</v>
      </c>
      <c r="C126" s="5" t="str">
        <f>'2_Cleaned_Data'!C124</f>
        <v>South</v>
      </c>
      <c r="D126" s="5" t="str">
        <f>'2_Cleaned_Data'!D124</f>
        <v>High Street</v>
      </c>
      <c r="E126" s="12">
        <f>'2_Cleaned_Data'!M124</f>
        <v>842439.67</v>
      </c>
      <c r="F126" s="12">
        <f>'5_Multiple_Regression'!$B$324+'5_Multiple_Regression'!$B$325*'2_Cleaned_Data'!E124+'5_Multiple_Regression'!$B$326*'2_Cleaned_Data'!F124+'5_Multiple_Regression'!$B$327*'2_Cleaned_Data'!G124+'5_Multiple_Regression'!$B$328*'2_Cleaned_Data'!I124+'5_Multiple_Regression'!$B$329*IF('2_Cleaned_Data'!D124="Airport",1,0)+'5_Multiple_Regression'!$B$330*IF('2_Cleaned_Data'!D124="High Street",1,0)+'5_Multiple_Regression'!$B$331*IF('2_Cleaned_Data'!D124="Mall",1,0)</f>
        <v>844955.19222115201</v>
      </c>
      <c r="G126" s="12">
        <f>E126-F126</f>
        <v>-2515.5222211519722</v>
      </c>
      <c r="H126" s="13">
        <f>G126/E126*100</f>
        <v>-0.2985996873998078</v>
      </c>
    </row>
    <row r="127" spans="1:8" x14ac:dyDescent="0.45">
      <c r="A127" s="5" t="str">
        <f>'2_Cleaned_Data'!A127</f>
        <v>STR-1033</v>
      </c>
      <c r="B127" s="18">
        <f>'2_Cleaned_Data'!B127</f>
        <v>45658</v>
      </c>
      <c r="C127" s="5" t="str">
        <f>'2_Cleaned_Data'!C127</f>
        <v>East</v>
      </c>
      <c r="D127" s="5" t="str">
        <f>'2_Cleaned_Data'!D127</f>
        <v>High Street</v>
      </c>
      <c r="E127" s="12">
        <f>'2_Cleaned_Data'!M127</f>
        <v>849018.3</v>
      </c>
      <c r="F127" s="12">
        <f>'5_Multiple_Regression'!$B$324+'5_Multiple_Regression'!$B$325*'2_Cleaned_Data'!E127+'5_Multiple_Regression'!$B$326*'2_Cleaned_Data'!F127+'5_Multiple_Regression'!$B$327*'2_Cleaned_Data'!G127+'5_Multiple_Regression'!$B$328*'2_Cleaned_Data'!I127+'5_Multiple_Regression'!$B$329*IF('2_Cleaned_Data'!D127="Airport",1,0)+'5_Multiple_Regression'!$B$330*IF('2_Cleaned_Data'!D127="High Street",1,0)+'5_Multiple_Regression'!$B$331*IF('2_Cleaned_Data'!D127="Mall",1,0)</f>
        <v>828115.09897931817</v>
      </c>
      <c r="G127" s="12">
        <f>E127-F127</f>
        <v>20903.201020681881</v>
      </c>
      <c r="H127" s="13">
        <f>G127/E127*100</f>
        <v>2.4620436356533046</v>
      </c>
    </row>
    <row r="128" spans="1:8" x14ac:dyDescent="0.45">
      <c r="A128" s="5" t="str">
        <f>'2_Cleaned_Data'!A128</f>
        <v>STR-1033</v>
      </c>
      <c r="B128" s="18">
        <f>'2_Cleaned_Data'!B128</f>
        <v>45689</v>
      </c>
      <c r="C128" s="5" t="str">
        <f>'2_Cleaned_Data'!C128</f>
        <v>East</v>
      </c>
      <c r="D128" s="5" t="str">
        <f>'2_Cleaned_Data'!D128</f>
        <v>High Street</v>
      </c>
      <c r="E128" s="12">
        <f>'2_Cleaned_Data'!M128</f>
        <v>801830.35</v>
      </c>
      <c r="F128" s="12">
        <f>'5_Multiple_Regression'!$B$324+'5_Multiple_Regression'!$B$325*'2_Cleaned_Data'!E128+'5_Multiple_Regression'!$B$326*'2_Cleaned_Data'!F128+'5_Multiple_Regression'!$B$327*'2_Cleaned_Data'!G128+'5_Multiple_Regression'!$B$328*'2_Cleaned_Data'!I128+'5_Multiple_Regression'!$B$329*IF('2_Cleaned_Data'!D128="Airport",1,0)+'5_Multiple_Regression'!$B$330*IF('2_Cleaned_Data'!D128="High Street",1,0)+'5_Multiple_Regression'!$B$331*IF('2_Cleaned_Data'!D128="Mall",1,0)</f>
        <v>806352.75341152074</v>
      </c>
      <c r="G128" s="12">
        <f>E128-F128</f>
        <v>-4522.4034115207614</v>
      </c>
      <c r="H128" s="13">
        <f>G128/E128*100</f>
        <v>-0.56401000679517321</v>
      </c>
    </row>
    <row r="129" spans="1:8" x14ac:dyDescent="0.45">
      <c r="A129" s="5" t="str">
        <f>'2_Cleaned_Data'!A130</f>
        <v>STR-1033</v>
      </c>
      <c r="B129" s="18">
        <f>'2_Cleaned_Data'!B130</f>
        <v>45748</v>
      </c>
      <c r="C129" s="5" t="str">
        <f>'2_Cleaned_Data'!C130</f>
        <v>East</v>
      </c>
      <c r="D129" s="5" t="str">
        <f>'2_Cleaned_Data'!D130</f>
        <v>High Street</v>
      </c>
      <c r="E129" s="12">
        <f>'2_Cleaned_Data'!M130</f>
        <v>811452.72</v>
      </c>
      <c r="F129" s="12">
        <f>'5_Multiple_Regression'!$B$324+'5_Multiple_Regression'!$B$325*'2_Cleaned_Data'!E130+'5_Multiple_Regression'!$B$326*'2_Cleaned_Data'!F130+'5_Multiple_Regression'!$B$327*'2_Cleaned_Data'!G130+'5_Multiple_Regression'!$B$328*'2_Cleaned_Data'!I130+'5_Multiple_Regression'!$B$329*IF('2_Cleaned_Data'!D130="Airport",1,0)+'5_Multiple_Regression'!$B$330*IF('2_Cleaned_Data'!D130="High Street",1,0)+'5_Multiple_Regression'!$B$331*IF('2_Cleaned_Data'!D130="Mall",1,0)</f>
        <v>829195.44374767866</v>
      </c>
      <c r="G129" s="12">
        <f>E129-F129</f>
        <v>-17742.723747678683</v>
      </c>
      <c r="H129" s="13">
        <f>G129/E129*100</f>
        <v>-2.1865382061543506</v>
      </c>
    </row>
    <row r="130" spans="1:8" x14ac:dyDescent="0.45">
      <c r="A130" s="5" t="str">
        <f>'2_Cleaned_Data'!A129</f>
        <v>STR-1033</v>
      </c>
      <c r="B130" s="18">
        <f>'2_Cleaned_Data'!B129</f>
        <v>45717</v>
      </c>
      <c r="C130" s="5" t="str">
        <f>'2_Cleaned_Data'!C129</f>
        <v>East</v>
      </c>
      <c r="D130" s="5" t="str">
        <f>'2_Cleaned_Data'!D129</f>
        <v>High Street</v>
      </c>
      <c r="E130" s="12">
        <f>'2_Cleaned_Data'!M129</f>
        <v>725235.28</v>
      </c>
      <c r="F130" s="12">
        <f>'5_Multiple_Regression'!$B$324+'5_Multiple_Regression'!$B$325*'2_Cleaned_Data'!E129+'5_Multiple_Regression'!$B$326*'2_Cleaned_Data'!F129+'5_Multiple_Regression'!$B$327*'2_Cleaned_Data'!G129+'5_Multiple_Regression'!$B$328*'2_Cleaned_Data'!I129+'5_Multiple_Regression'!$B$329*IF('2_Cleaned_Data'!D129="Airport",1,0)+'5_Multiple_Regression'!$B$330*IF('2_Cleaned_Data'!D129="High Street",1,0)+'5_Multiple_Regression'!$B$331*IF('2_Cleaned_Data'!D129="Mall",1,0)</f>
        <v>791951.00288520951</v>
      </c>
      <c r="G130" s="12">
        <f>E130-F130</f>
        <v>-66715.722885209485</v>
      </c>
      <c r="H130" s="13">
        <f>G130/E130*100</f>
        <v>-9.1991833167864474</v>
      </c>
    </row>
    <row r="131" spans="1:8" x14ac:dyDescent="0.45">
      <c r="A131" s="5" t="str">
        <f>'2_Cleaned_Data'!A132</f>
        <v>STR-1034</v>
      </c>
      <c r="B131" s="18">
        <f>'2_Cleaned_Data'!B132</f>
        <v>45717</v>
      </c>
      <c r="C131" s="5" t="str">
        <f>'2_Cleaned_Data'!C132</f>
        <v>North</v>
      </c>
      <c r="D131" s="5" t="str">
        <f>'2_Cleaned_Data'!D132</f>
        <v>High Street</v>
      </c>
      <c r="E131" s="12">
        <f>'2_Cleaned_Data'!M132</f>
        <v>593247.25</v>
      </c>
      <c r="F131" s="12">
        <f>'5_Multiple_Regression'!$B$324+'5_Multiple_Regression'!$B$325*'2_Cleaned_Data'!E132+'5_Multiple_Regression'!$B$326*'2_Cleaned_Data'!F132+'5_Multiple_Regression'!$B$327*'2_Cleaned_Data'!G132+'5_Multiple_Regression'!$B$328*'2_Cleaned_Data'!I132+'5_Multiple_Regression'!$B$329*IF('2_Cleaned_Data'!D132="Airport",1,0)+'5_Multiple_Regression'!$B$330*IF('2_Cleaned_Data'!D132="High Street",1,0)+'5_Multiple_Regression'!$B$331*IF('2_Cleaned_Data'!D132="Mall",1,0)</f>
        <v>600275.44295120216</v>
      </c>
      <c r="G131" s="12">
        <f>E131-F131</f>
        <v>-7028.1929512021597</v>
      </c>
      <c r="H131" s="13">
        <f>G131/E131*100</f>
        <v>-1.1846987830457132</v>
      </c>
    </row>
    <row r="132" spans="1:8" x14ac:dyDescent="0.45">
      <c r="A132" s="5" t="str">
        <f>'2_Cleaned_Data'!A133</f>
        <v>STR-1034</v>
      </c>
      <c r="B132" s="18">
        <f>'2_Cleaned_Data'!B133</f>
        <v>45748</v>
      </c>
      <c r="C132" s="5" t="str">
        <f>'2_Cleaned_Data'!C133</f>
        <v>North</v>
      </c>
      <c r="D132" s="5" t="str">
        <f>'2_Cleaned_Data'!D133</f>
        <v>High Street</v>
      </c>
      <c r="E132" s="12">
        <f>'2_Cleaned_Data'!M133</f>
        <v>529075.94999999995</v>
      </c>
      <c r="F132" s="12">
        <f>'5_Multiple_Regression'!$B$324+'5_Multiple_Regression'!$B$325*'2_Cleaned_Data'!E133+'5_Multiple_Regression'!$B$326*'2_Cleaned_Data'!F133+'5_Multiple_Regression'!$B$327*'2_Cleaned_Data'!G133+'5_Multiple_Regression'!$B$328*'2_Cleaned_Data'!I133+'5_Multiple_Regression'!$B$329*IF('2_Cleaned_Data'!D133="Airport",1,0)+'5_Multiple_Regression'!$B$330*IF('2_Cleaned_Data'!D133="High Street",1,0)+'5_Multiple_Regression'!$B$331*IF('2_Cleaned_Data'!D133="Mall",1,0)</f>
        <v>544140.17103983089</v>
      </c>
      <c r="G132" s="12">
        <f>E132-F132</f>
        <v>-15064.22103983094</v>
      </c>
      <c r="H132" s="13">
        <f>G132/E132*100</f>
        <v>-2.8472700450343549</v>
      </c>
    </row>
    <row r="133" spans="1:8" x14ac:dyDescent="0.45">
      <c r="A133" s="5" t="str">
        <f>'2_Cleaned_Data'!A131</f>
        <v>STR-1034</v>
      </c>
      <c r="B133" s="18">
        <f>'2_Cleaned_Data'!B131</f>
        <v>45658</v>
      </c>
      <c r="C133" s="5" t="str">
        <f>'2_Cleaned_Data'!C131</f>
        <v>North</v>
      </c>
      <c r="D133" s="5" t="str">
        <f>'2_Cleaned_Data'!D131</f>
        <v>High Street</v>
      </c>
      <c r="E133" s="12">
        <f>'2_Cleaned_Data'!M131</f>
        <v>527300.13</v>
      </c>
      <c r="F133" s="12">
        <f>'5_Multiple_Regression'!$B$324+'5_Multiple_Regression'!$B$325*'2_Cleaned_Data'!E131+'5_Multiple_Regression'!$B$326*'2_Cleaned_Data'!F131+'5_Multiple_Regression'!$B$327*'2_Cleaned_Data'!G131+'5_Multiple_Regression'!$B$328*'2_Cleaned_Data'!I131+'5_Multiple_Regression'!$B$329*IF('2_Cleaned_Data'!D131="Airport",1,0)+'5_Multiple_Regression'!$B$330*IF('2_Cleaned_Data'!D131="High Street",1,0)+'5_Multiple_Regression'!$B$331*IF('2_Cleaned_Data'!D131="Mall",1,0)</f>
        <v>580474.79527390422</v>
      </c>
      <c r="G133" s="12">
        <f>E133-F133</f>
        <v>-53174.665273904218</v>
      </c>
      <c r="H133" s="13">
        <f>G133/E133*100</f>
        <v>-10.084326221179619</v>
      </c>
    </row>
    <row r="134" spans="1:8" x14ac:dyDescent="0.45">
      <c r="A134" s="5" t="str">
        <f>'2_Cleaned_Data'!A135</f>
        <v>STR-1035</v>
      </c>
      <c r="B134" s="18">
        <f>'2_Cleaned_Data'!B135</f>
        <v>45717</v>
      </c>
      <c r="C134" s="5" t="str">
        <f>'2_Cleaned_Data'!C135</f>
        <v>South</v>
      </c>
      <c r="D134" s="5" t="str">
        <f>'2_Cleaned_Data'!D135</f>
        <v>Residential</v>
      </c>
      <c r="E134" s="12">
        <f>'2_Cleaned_Data'!M135</f>
        <v>758827.64</v>
      </c>
      <c r="F134" s="12">
        <f>'5_Multiple_Regression'!$B$324+'5_Multiple_Regression'!$B$325*'2_Cleaned_Data'!E135+'5_Multiple_Regression'!$B$326*'2_Cleaned_Data'!F135+'5_Multiple_Regression'!$B$327*'2_Cleaned_Data'!G135+'5_Multiple_Regression'!$B$328*'2_Cleaned_Data'!I135+'5_Multiple_Regression'!$B$329*IF('2_Cleaned_Data'!D135="Airport",1,0)+'5_Multiple_Regression'!$B$330*IF('2_Cleaned_Data'!D135="High Street",1,0)+'5_Multiple_Regression'!$B$331*IF('2_Cleaned_Data'!D135="Mall",1,0)</f>
        <v>685770.74828052986</v>
      </c>
      <c r="G134" s="12">
        <f>E134-F134</f>
        <v>73056.89171947015</v>
      </c>
      <c r="H134" s="13">
        <f>G134/E134*100</f>
        <v>9.627600243906528</v>
      </c>
    </row>
    <row r="135" spans="1:8" x14ac:dyDescent="0.45">
      <c r="A135" s="5" t="str">
        <f>'2_Cleaned_Data'!A134</f>
        <v>STR-1035</v>
      </c>
      <c r="B135" s="18">
        <f>'2_Cleaned_Data'!B134</f>
        <v>45689</v>
      </c>
      <c r="C135" s="5" t="str">
        <f>'2_Cleaned_Data'!C134</f>
        <v>South</v>
      </c>
      <c r="D135" s="5" t="str">
        <f>'2_Cleaned_Data'!D134</f>
        <v>Residential</v>
      </c>
      <c r="E135" s="12">
        <f>'2_Cleaned_Data'!M134</f>
        <v>743348.84</v>
      </c>
      <c r="F135" s="12">
        <f>'5_Multiple_Regression'!$B$324+'5_Multiple_Regression'!$B$325*'2_Cleaned_Data'!E134+'5_Multiple_Regression'!$B$326*'2_Cleaned_Data'!F134+'5_Multiple_Regression'!$B$327*'2_Cleaned_Data'!G134+'5_Multiple_Regression'!$B$328*'2_Cleaned_Data'!I134+'5_Multiple_Regression'!$B$329*IF('2_Cleaned_Data'!D134="Airport",1,0)+'5_Multiple_Regression'!$B$330*IF('2_Cleaned_Data'!D134="High Street",1,0)+'5_Multiple_Regression'!$B$331*IF('2_Cleaned_Data'!D134="Mall",1,0)</f>
        <v>703016.60102513852</v>
      </c>
      <c r="G135" s="12">
        <f>E135-F135</f>
        <v>40332.238974861451</v>
      </c>
      <c r="H135" s="13">
        <f>G135/E135*100</f>
        <v>5.4257485590293584</v>
      </c>
    </row>
    <row r="136" spans="1:8" x14ac:dyDescent="0.45">
      <c r="A136" s="5" t="str">
        <f>'2_Cleaned_Data'!A136</f>
        <v>STR-1035</v>
      </c>
      <c r="B136" s="18">
        <f>'2_Cleaned_Data'!B136</f>
        <v>45748</v>
      </c>
      <c r="C136" s="5" t="str">
        <f>'2_Cleaned_Data'!C136</f>
        <v>South</v>
      </c>
      <c r="D136" s="5" t="str">
        <f>'2_Cleaned_Data'!D136</f>
        <v>Residential</v>
      </c>
      <c r="E136" s="12">
        <f>'2_Cleaned_Data'!M136</f>
        <v>646559.71</v>
      </c>
      <c r="F136" s="12">
        <f>'5_Multiple_Regression'!$B$324+'5_Multiple_Regression'!$B$325*'2_Cleaned_Data'!E136+'5_Multiple_Regression'!$B$326*'2_Cleaned_Data'!F136+'5_Multiple_Regression'!$B$327*'2_Cleaned_Data'!G136+'5_Multiple_Regression'!$B$328*'2_Cleaned_Data'!I136+'5_Multiple_Regression'!$B$329*IF('2_Cleaned_Data'!D136="Airport",1,0)+'5_Multiple_Regression'!$B$330*IF('2_Cleaned_Data'!D136="High Street",1,0)+'5_Multiple_Regression'!$B$331*IF('2_Cleaned_Data'!D136="Mall",1,0)</f>
        <v>617377.69042521226</v>
      </c>
      <c r="G136" s="12">
        <f>E136-F136</f>
        <v>29182.019574787701</v>
      </c>
      <c r="H136" s="13">
        <f>G136/E136*100</f>
        <v>4.5134299467542913</v>
      </c>
    </row>
    <row r="137" spans="1:8" x14ac:dyDescent="0.45">
      <c r="A137" s="5" t="str">
        <f>'2_Cleaned_Data'!A137</f>
        <v>STR-1036</v>
      </c>
      <c r="B137" s="18">
        <f>'2_Cleaned_Data'!B137</f>
        <v>45658</v>
      </c>
      <c r="C137" s="5" t="str">
        <f>'2_Cleaned_Data'!C137</f>
        <v>West</v>
      </c>
      <c r="D137" s="5" t="str">
        <f>'2_Cleaned_Data'!D137</f>
        <v>High Street</v>
      </c>
      <c r="E137" s="12">
        <f>'2_Cleaned_Data'!M137</f>
        <v>715890.53</v>
      </c>
      <c r="F137" s="12">
        <f>'5_Multiple_Regression'!$B$324+'5_Multiple_Regression'!$B$325*'2_Cleaned_Data'!E137+'5_Multiple_Regression'!$B$326*'2_Cleaned_Data'!F137+'5_Multiple_Regression'!$B$327*'2_Cleaned_Data'!G137+'5_Multiple_Regression'!$B$328*'2_Cleaned_Data'!I137+'5_Multiple_Regression'!$B$329*IF('2_Cleaned_Data'!D137="Airport",1,0)+'5_Multiple_Regression'!$B$330*IF('2_Cleaned_Data'!D137="High Street",1,0)+'5_Multiple_Regression'!$B$331*IF('2_Cleaned_Data'!D137="Mall",1,0)</f>
        <v>666551.58502366696</v>
      </c>
      <c r="G137" s="12">
        <f>E137-F137</f>
        <v>49338.944976333063</v>
      </c>
      <c r="H137" s="13">
        <f>G137/E137*100</f>
        <v>6.8919678231157855</v>
      </c>
    </row>
    <row r="138" spans="1:8" x14ac:dyDescent="0.45">
      <c r="A138" s="5" t="str">
        <f>'2_Cleaned_Data'!A139</f>
        <v>STR-1036</v>
      </c>
      <c r="B138" s="18">
        <f>'2_Cleaned_Data'!B139</f>
        <v>45717</v>
      </c>
      <c r="C138" s="5" t="str">
        <f>'2_Cleaned_Data'!C139</f>
        <v>West</v>
      </c>
      <c r="D138" s="5" t="str">
        <f>'2_Cleaned_Data'!D139</f>
        <v>High Street</v>
      </c>
      <c r="E138" s="12">
        <f>'2_Cleaned_Data'!M139</f>
        <v>682639.28</v>
      </c>
      <c r="F138" s="12">
        <f>'5_Multiple_Regression'!$B$324+'5_Multiple_Regression'!$B$325*'2_Cleaned_Data'!E139+'5_Multiple_Regression'!$B$326*'2_Cleaned_Data'!F139+'5_Multiple_Regression'!$B$327*'2_Cleaned_Data'!G139+'5_Multiple_Regression'!$B$328*'2_Cleaned_Data'!I139+'5_Multiple_Regression'!$B$329*IF('2_Cleaned_Data'!D139="Airport",1,0)+'5_Multiple_Regression'!$B$330*IF('2_Cleaned_Data'!D139="High Street",1,0)+'5_Multiple_Regression'!$B$331*IF('2_Cleaned_Data'!D139="Mall",1,0)</f>
        <v>639666.28961342538</v>
      </c>
      <c r="G138" s="12">
        <f>E138-F138</f>
        <v>42972.990386574646</v>
      </c>
      <c r="H138" s="13">
        <f>G138/E138*100</f>
        <v>6.2951241813355141</v>
      </c>
    </row>
    <row r="139" spans="1:8" x14ac:dyDescent="0.45">
      <c r="A139" s="5" t="str">
        <f>'2_Cleaned_Data'!A140</f>
        <v>STR-1036</v>
      </c>
      <c r="B139" s="18">
        <f>'2_Cleaned_Data'!B140</f>
        <v>45748</v>
      </c>
      <c r="C139" s="5" t="str">
        <f>'2_Cleaned_Data'!C140</f>
        <v>West</v>
      </c>
      <c r="D139" s="5" t="str">
        <f>'2_Cleaned_Data'!D140</f>
        <v>High Street</v>
      </c>
      <c r="E139" s="12">
        <f>'2_Cleaned_Data'!M140</f>
        <v>695098.51</v>
      </c>
      <c r="F139" s="12">
        <f>'5_Multiple_Regression'!$B$324+'5_Multiple_Regression'!$B$325*'2_Cleaned_Data'!E140+'5_Multiple_Regression'!$B$326*'2_Cleaned_Data'!F140+'5_Multiple_Regression'!$B$327*'2_Cleaned_Data'!G140+'5_Multiple_Regression'!$B$328*'2_Cleaned_Data'!I140+'5_Multiple_Regression'!$B$329*IF('2_Cleaned_Data'!D140="Airport",1,0)+'5_Multiple_Regression'!$B$330*IF('2_Cleaned_Data'!D140="High Street",1,0)+'5_Multiple_Regression'!$B$331*IF('2_Cleaned_Data'!D140="Mall",1,0)</f>
        <v>671232.02593595372</v>
      </c>
      <c r="G139" s="12">
        <f>E139-F139</f>
        <v>23866.484064046293</v>
      </c>
      <c r="H139" s="13">
        <f>G139/E139*100</f>
        <v>3.4335398106444357</v>
      </c>
    </row>
    <row r="140" spans="1:8" x14ac:dyDescent="0.45">
      <c r="A140" s="5" t="str">
        <f>'2_Cleaned_Data'!A138</f>
        <v>STR-1036</v>
      </c>
      <c r="B140" s="18">
        <f>'2_Cleaned_Data'!B138</f>
        <v>45689</v>
      </c>
      <c r="C140" s="5" t="str">
        <f>'2_Cleaned_Data'!C138</f>
        <v>West</v>
      </c>
      <c r="D140" s="5" t="str">
        <f>'2_Cleaned_Data'!D138</f>
        <v>High Street</v>
      </c>
      <c r="E140" s="12">
        <f>'2_Cleaned_Data'!M138</f>
        <v>715097.57</v>
      </c>
      <c r="F140" s="12">
        <f>'5_Multiple_Regression'!$B$324+'5_Multiple_Regression'!$B$325*'2_Cleaned_Data'!E138+'5_Multiple_Regression'!$B$326*'2_Cleaned_Data'!F138+'5_Multiple_Regression'!$B$327*'2_Cleaned_Data'!G138+'5_Multiple_Regression'!$B$328*'2_Cleaned_Data'!I138+'5_Multiple_Regression'!$B$329*IF('2_Cleaned_Data'!D138="Airport",1,0)+'5_Multiple_Regression'!$B$330*IF('2_Cleaned_Data'!D138="High Street",1,0)+'5_Multiple_Regression'!$B$331*IF('2_Cleaned_Data'!D138="Mall",1,0)</f>
        <v>694954.19849143713</v>
      </c>
      <c r="G140" s="12">
        <f>E140-F140</f>
        <v>20143.371508562821</v>
      </c>
      <c r="H140" s="13">
        <f>G140/E140*100</f>
        <v>2.8168703619791104</v>
      </c>
    </row>
    <row r="141" spans="1:8" x14ac:dyDescent="0.45">
      <c r="A141" s="5" t="str">
        <f>'2_Cleaned_Data'!A144</f>
        <v>STR-1037</v>
      </c>
      <c r="B141" s="18">
        <f>'2_Cleaned_Data'!B144</f>
        <v>45748</v>
      </c>
      <c r="C141" s="5" t="str">
        <f>'2_Cleaned_Data'!C144</f>
        <v>North</v>
      </c>
      <c r="D141" s="5" t="str">
        <f>'2_Cleaned_Data'!D144</f>
        <v>Residential</v>
      </c>
      <c r="E141" s="12">
        <f>'2_Cleaned_Data'!M144</f>
        <v>570964.84</v>
      </c>
      <c r="F141" s="12">
        <f>'5_Multiple_Regression'!$B$324+'5_Multiple_Regression'!$B$325*'2_Cleaned_Data'!E144+'5_Multiple_Regression'!$B$326*'2_Cleaned_Data'!F144+'5_Multiple_Regression'!$B$327*'2_Cleaned_Data'!G144+'5_Multiple_Regression'!$B$328*'2_Cleaned_Data'!I144+'5_Multiple_Regression'!$B$329*IF('2_Cleaned_Data'!D144="Airport",1,0)+'5_Multiple_Regression'!$B$330*IF('2_Cleaned_Data'!D144="High Street",1,0)+'5_Multiple_Regression'!$B$331*IF('2_Cleaned_Data'!D144="Mall",1,0)</f>
        <v>567548.20885901467</v>
      </c>
      <c r="G141" s="12">
        <f>E141-F141</f>
        <v>3416.6311409852933</v>
      </c>
      <c r="H141" s="13">
        <f>G141/E141*100</f>
        <v>0.59839606603189321</v>
      </c>
    </row>
    <row r="142" spans="1:8" x14ac:dyDescent="0.45">
      <c r="A142" s="5" t="str">
        <f>'2_Cleaned_Data'!A143</f>
        <v>STR-1037</v>
      </c>
      <c r="B142" s="18">
        <f>'2_Cleaned_Data'!B143</f>
        <v>45717</v>
      </c>
      <c r="C142" s="5" t="str">
        <f>'2_Cleaned_Data'!C143</f>
        <v>North</v>
      </c>
      <c r="D142" s="5" t="str">
        <f>'2_Cleaned_Data'!D143</f>
        <v>Residential</v>
      </c>
      <c r="E142" s="12">
        <f>'2_Cleaned_Data'!M143</f>
        <v>601568.87</v>
      </c>
      <c r="F142" s="12">
        <f>'5_Multiple_Regression'!$B$324+'5_Multiple_Regression'!$B$325*'2_Cleaned_Data'!E143+'5_Multiple_Regression'!$B$326*'2_Cleaned_Data'!F143+'5_Multiple_Regression'!$B$327*'2_Cleaned_Data'!G143+'5_Multiple_Regression'!$B$328*'2_Cleaned_Data'!I143+'5_Multiple_Regression'!$B$329*IF('2_Cleaned_Data'!D143="Airport",1,0)+'5_Multiple_Regression'!$B$330*IF('2_Cleaned_Data'!D143="High Street",1,0)+'5_Multiple_Regression'!$B$331*IF('2_Cleaned_Data'!D143="Mall",1,0)</f>
        <v>599574.98386611324</v>
      </c>
      <c r="G142" s="12">
        <f>E142-F142</f>
        <v>1993.8861338867573</v>
      </c>
      <c r="H142" s="13">
        <f>G142/E142*100</f>
        <v>0.33144769174753963</v>
      </c>
    </row>
    <row r="143" spans="1:8" x14ac:dyDescent="0.45">
      <c r="A143" s="5" t="str">
        <f>'2_Cleaned_Data'!A142</f>
        <v>STR-1037</v>
      </c>
      <c r="B143" s="18">
        <f>'2_Cleaned_Data'!B142</f>
        <v>45689</v>
      </c>
      <c r="C143" s="5" t="str">
        <f>'2_Cleaned_Data'!C142</f>
        <v>North</v>
      </c>
      <c r="D143" s="5" t="str">
        <f>'2_Cleaned_Data'!D142</f>
        <v>Residential</v>
      </c>
      <c r="E143" s="12">
        <f>'2_Cleaned_Data'!M142</f>
        <v>537058.32999999996</v>
      </c>
      <c r="F143" s="12">
        <f>'5_Multiple_Regression'!$B$324+'5_Multiple_Regression'!$B$325*'2_Cleaned_Data'!E142+'5_Multiple_Regression'!$B$326*'2_Cleaned_Data'!F142+'5_Multiple_Regression'!$B$327*'2_Cleaned_Data'!G142+'5_Multiple_Regression'!$B$328*'2_Cleaned_Data'!I142+'5_Multiple_Regression'!$B$329*IF('2_Cleaned_Data'!D142="Airport",1,0)+'5_Multiple_Regression'!$B$330*IF('2_Cleaned_Data'!D142="High Street",1,0)+'5_Multiple_Regression'!$B$331*IF('2_Cleaned_Data'!D142="Mall",1,0)</f>
        <v>564675.45761086326</v>
      </c>
      <c r="G143" s="12">
        <f>E143-F143</f>
        <v>-27617.127610863303</v>
      </c>
      <c r="H143" s="13">
        <f>G143/E143*100</f>
        <v>-5.1422957373854166</v>
      </c>
    </row>
    <row r="144" spans="1:8" x14ac:dyDescent="0.45">
      <c r="A144" s="5" t="str">
        <f>'2_Cleaned_Data'!A141</f>
        <v>STR-1037</v>
      </c>
      <c r="B144" s="18">
        <f>'2_Cleaned_Data'!B141</f>
        <v>45658</v>
      </c>
      <c r="C144" s="5" t="str">
        <f>'2_Cleaned_Data'!C141</f>
        <v>North</v>
      </c>
      <c r="D144" s="5" t="str">
        <f>'2_Cleaned_Data'!D141</f>
        <v>Residential</v>
      </c>
      <c r="E144" s="12">
        <f>'2_Cleaned_Data'!M141</f>
        <v>577732.56999999995</v>
      </c>
      <c r="F144" s="12">
        <f>'5_Multiple_Regression'!$B$324+'5_Multiple_Regression'!$B$325*'2_Cleaned_Data'!E141+'5_Multiple_Regression'!$B$326*'2_Cleaned_Data'!F141+'5_Multiple_Regression'!$B$327*'2_Cleaned_Data'!G141+'5_Multiple_Regression'!$B$328*'2_Cleaned_Data'!I141+'5_Multiple_Regression'!$B$329*IF('2_Cleaned_Data'!D141="Airport",1,0)+'5_Multiple_Regression'!$B$330*IF('2_Cleaned_Data'!D141="High Street",1,0)+'5_Multiple_Regression'!$B$331*IF('2_Cleaned_Data'!D141="Mall",1,0)</f>
        <v>610678.16592448554</v>
      </c>
      <c r="G144" s="12">
        <f>E144-F144</f>
        <v>-32945.595924485591</v>
      </c>
      <c r="H144" s="13">
        <f>G144/E144*100</f>
        <v>-5.7025685646363327</v>
      </c>
    </row>
    <row r="145" spans="1:8" x14ac:dyDescent="0.45">
      <c r="A145" s="5" t="str">
        <f>'2_Cleaned_Data'!A147</f>
        <v>STR-1038</v>
      </c>
      <c r="B145" s="18">
        <f>'2_Cleaned_Data'!B147</f>
        <v>45717</v>
      </c>
      <c r="C145" s="5" t="str">
        <f>'2_Cleaned_Data'!C147</f>
        <v>South</v>
      </c>
      <c r="D145" s="5" t="str">
        <f>'2_Cleaned_Data'!D147</f>
        <v>Mall</v>
      </c>
      <c r="E145" s="12">
        <f>'2_Cleaned_Data'!M147</f>
        <v>696744.15</v>
      </c>
      <c r="F145" s="12">
        <f>'5_Multiple_Regression'!$B$324+'5_Multiple_Regression'!$B$325*'2_Cleaned_Data'!E147+'5_Multiple_Regression'!$B$326*'2_Cleaned_Data'!F147+'5_Multiple_Regression'!$B$327*'2_Cleaned_Data'!G147+'5_Multiple_Regression'!$B$328*'2_Cleaned_Data'!I147+'5_Multiple_Regression'!$B$329*IF('2_Cleaned_Data'!D147="Airport",1,0)+'5_Multiple_Regression'!$B$330*IF('2_Cleaned_Data'!D147="High Street",1,0)+'5_Multiple_Regression'!$B$331*IF('2_Cleaned_Data'!D147="Mall",1,0)</f>
        <v>668012.44015233335</v>
      </c>
      <c r="G145" s="12">
        <f>E145-F145</f>
        <v>28731.709847666672</v>
      </c>
      <c r="H145" s="13">
        <f>G145/E145*100</f>
        <v>4.1237102382081963</v>
      </c>
    </row>
    <row r="146" spans="1:8" x14ac:dyDescent="0.45">
      <c r="A146" s="5" t="str">
        <f>'2_Cleaned_Data'!A148</f>
        <v>STR-1038</v>
      </c>
      <c r="B146" s="18">
        <f>'2_Cleaned_Data'!B148</f>
        <v>45748</v>
      </c>
      <c r="C146" s="5" t="str">
        <f>'2_Cleaned_Data'!C148</f>
        <v>South</v>
      </c>
      <c r="D146" s="5" t="str">
        <f>'2_Cleaned_Data'!D148</f>
        <v>Mall</v>
      </c>
      <c r="E146" s="12">
        <f>'2_Cleaned_Data'!M148</f>
        <v>725847.99</v>
      </c>
      <c r="F146" s="12">
        <f>'5_Multiple_Regression'!$B$324+'5_Multiple_Regression'!$B$325*'2_Cleaned_Data'!E148+'5_Multiple_Regression'!$B$326*'2_Cleaned_Data'!F148+'5_Multiple_Regression'!$B$327*'2_Cleaned_Data'!G148+'5_Multiple_Regression'!$B$328*'2_Cleaned_Data'!I148+'5_Multiple_Regression'!$B$329*IF('2_Cleaned_Data'!D148="Airport",1,0)+'5_Multiple_Regression'!$B$330*IF('2_Cleaned_Data'!D148="High Street",1,0)+'5_Multiple_Regression'!$B$331*IF('2_Cleaned_Data'!D148="Mall",1,0)</f>
        <v>701734.7508913991</v>
      </c>
      <c r="G146" s="12">
        <f>E146-F146</f>
        <v>24113.239108600887</v>
      </c>
      <c r="H146" s="13">
        <f>G146/E146*100</f>
        <v>3.3220783746471332</v>
      </c>
    </row>
    <row r="147" spans="1:8" x14ac:dyDescent="0.45">
      <c r="A147" s="5" t="str">
        <f>'2_Cleaned_Data'!A146</f>
        <v>STR-1038</v>
      </c>
      <c r="B147" s="18">
        <f>'2_Cleaned_Data'!B146</f>
        <v>45689</v>
      </c>
      <c r="C147" s="5" t="str">
        <f>'2_Cleaned_Data'!C146</f>
        <v>South</v>
      </c>
      <c r="D147" s="5" t="str">
        <f>'2_Cleaned_Data'!D146</f>
        <v>Mall</v>
      </c>
      <c r="E147" s="12">
        <f>'2_Cleaned_Data'!M146</f>
        <v>712868.35</v>
      </c>
      <c r="F147" s="12">
        <f>'5_Multiple_Regression'!$B$324+'5_Multiple_Regression'!$B$325*'2_Cleaned_Data'!E146+'5_Multiple_Regression'!$B$326*'2_Cleaned_Data'!F146+'5_Multiple_Regression'!$B$327*'2_Cleaned_Data'!G146+'5_Multiple_Regression'!$B$328*'2_Cleaned_Data'!I146+'5_Multiple_Regression'!$B$329*IF('2_Cleaned_Data'!D146="Airport",1,0)+'5_Multiple_Regression'!$B$330*IF('2_Cleaned_Data'!D146="High Street",1,0)+'5_Multiple_Regression'!$B$331*IF('2_Cleaned_Data'!D146="Mall",1,0)</f>
        <v>711563.04171411158</v>
      </c>
      <c r="G147" s="12">
        <f>E147-F147</f>
        <v>1305.3082858884009</v>
      </c>
      <c r="H147" s="13">
        <f>G147/E147*100</f>
        <v>0.18310650008355692</v>
      </c>
    </row>
    <row r="148" spans="1:8" x14ac:dyDescent="0.45">
      <c r="A148" s="5" t="str">
        <f>'2_Cleaned_Data'!A145</f>
        <v>STR-1038</v>
      </c>
      <c r="B148" s="18">
        <f>'2_Cleaned_Data'!B145</f>
        <v>45658</v>
      </c>
      <c r="C148" s="5" t="str">
        <f>'2_Cleaned_Data'!C145</f>
        <v>South</v>
      </c>
      <c r="D148" s="5" t="str">
        <f>'2_Cleaned_Data'!D145</f>
        <v>Mall</v>
      </c>
      <c r="E148" s="12">
        <f>'2_Cleaned_Data'!M145</f>
        <v>614024.91</v>
      </c>
      <c r="F148" s="12">
        <f>'5_Multiple_Regression'!$B$324+'5_Multiple_Regression'!$B$325*'2_Cleaned_Data'!E145+'5_Multiple_Regression'!$B$326*'2_Cleaned_Data'!F145+'5_Multiple_Regression'!$B$327*'2_Cleaned_Data'!G145+'5_Multiple_Regression'!$B$328*'2_Cleaned_Data'!I145+'5_Multiple_Regression'!$B$329*IF('2_Cleaned_Data'!D145="Airport",1,0)+'5_Multiple_Regression'!$B$330*IF('2_Cleaned_Data'!D145="High Street",1,0)+'5_Multiple_Regression'!$B$331*IF('2_Cleaned_Data'!D145="Mall",1,0)</f>
        <v>649139.66697740415</v>
      </c>
      <c r="G148" s="12">
        <f>E148-F148</f>
        <v>-35114.756977404119</v>
      </c>
      <c r="H148" s="13">
        <f>G148/E148*100</f>
        <v>-5.7187837831211308</v>
      </c>
    </row>
    <row r="149" spans="1:8" x14ac:dyDescent="0.45">
      <c r="A149" s="5" t="str">
        <f>'2_Cleaned_Data'!A150</f>
        <v>STR-1039</v>
      </c>
      <c r="B149" s="18">
        <f>'2_Cleaned_Data'!B150</f>
        <v>45689</v>
      </c>
      <c r="C149" s="5" t="str">
        <f>'2_Cleaned_Data'!C150</f>
        <v>East</v>
      </c>
      <c r="D149" s="5" t="str">
        <f>'2_Cleaned_Data'!D150</f>
        <v>High Street</v>
      </c>
      <c r="E149" s="12">
        <f>'2_Cleaned_Data'!M150</f>
        <v>698492.67</v>
      </c>
      <c r="F149" s="12">
        <f>'5_Multiple_Regression'!$B$324+'5_Multiple_Regression'!$B$325*'2_Cleaned_Data'!E150+'5_Multiple_Regression'!$B$326*'2_Cleaned_Data'!F150+'5_Multiple_Regression'!$B$327*'2_Cleaned_Data'!G150+'5_Multiple_Regression'!$B$328*'2_Cleaned_Data'!I150+'5_Multiple_Regression'!$B$329*IF('2_Cleaned_Data'!D150="Airport",1,0)+'5_Multiple_Regression'!$B$330*IF('2_Cleaned_Data'!D150="High Street",1,0)+'5_Multiple_Regression'!$B$331*IF('2_Cleaned_Data'!D150="Mall",1,0)</f>
        <v>690499.32692025951</v>
      </c>
      <c r="G149" s="12">
        <f>E149-F149</f>
        <v>7993.3430797405308</v>
      </c>
      <c r="H149" s="13">
        <f>G149/E149*100</f>
        <v>1.1443703596403569</v>
      </c>
    </row>
    <row r="150" spans="1:8" x14ac:dyDescent="0.45">
      <c r="A150" s="5" t="str">
        <f>'2_Cleaned_Data'!A152</f>
        <v>STR-1039</v>
      </c>
      <c r="B150" s="18">
        <f>'2_Cleaned_Data'!B152</f>
        <v>45748</v>
      </c>
      <c r="C150" s="5" t="str">
        <f>'2_Cleaned_Data'!C152</f>
        <v>East</v>
      </c>
      <c r="D150" s="5" t="str">
        <f>'2_Cleaned_Data'!D152</f>
        <v>High Street</v>
      </c>
      <c r="E150" s="12">
        <f>'2_Cleaned_Data'!M152</f>
        <v>702318.94</v>
      </c>
      <c r="F150" s="12">
        <f>'5_Multiple_Regression'!$B$324+'5_Multiple_Regression'!$B$325*'2_Cleaned_Data'!E152+'5_Multiple_Regression'!$B$326*'2_Cleaned_Data'!F152+'5_Multiple_Regression'!$B$327*'2_Cleaned_Data'!G152+'5_Multiple_Regression'!$B$328*'2_Cleaned_Data'!I152+'5_Multiple_Regression'!$B$329*IF('2_Cleaned_Data'!D152="Airport",1,0)+'5_Multiple_Regression'!$B$330*IF('2_Cleaned_Data'!D152="High Street",1,0)+'5_Multiple_Regression'!$B$331*IF('2_Cleaned_Data'!D152="Mall",1,0)</f>
        <v>705140.72773865634</v>
      </c>
      <c r="G150" s="12">
        <f>E150-F150</f>
        <v>-2821.7877386563923</v>
      </c>
      <c r="H150" s="13">
        <f>G150/E150*100</f>
        <v>-0.40178152374139203</v>
      </c>
    </row>
    <row r="151" spans="1:8" x14ac:dyDescent="0.45">
      <c r="A151" s="5" t="str">
        <f>'2_Cleaned_Data'!A149</f>
        <v>STR-1039</v>
      </c>
      <c r="B151" s="18">
        <f>'2_Cleaned_Data'!B149</f>
        <v>45658</v>
      </c>
      <c r="C151" s="5" t="str">
        <f>'2_Cleaned_Data'!C149</f>
        <v>East</v>
      </c>
      <c r="D151" s="5" t="str">
        <f>'2_Cleaned_Data'!D149</f>
        <v>High Street</v>
      </c>
      <c r="E151" s="12">
        <f>'2_Cleaned_Data'!M149</f>
        <v>785028.25</v>
      </c>
      <c r="F151" s="12">
        <f>'5_Multiple_Regression'!$B$324+'5_Multiple_Regression'!$B$325*'2_Cleaned_Data'!E149+'5_Multiple_Regression'!$B$326*'2_Cleaned_Data'!F149+'5_Multiple_Regression'!$B$327*'2_Cleaned_Data'!G149+'5_Multiple_Regression'!$B$328*'2_Cleaned_Data'!I149+'5_Multiple_Regression'!$B$329*IF('2_Cleaned_Data'!D149="Airport",1,0)+'5_Multiple_Regression'!$B$330*IF('2_Cleaned_Data'!D149="High Street",1,0)+'5_Multiple_Regression'!$B$331*IF('2_Cleaned_Data'!D149="Mall",1,0)</f>
        <v>799837.59555853193</v>
      </c>
      <c r="G151" s="12">
        <f>E151-F151</f>
        <v>-14809.345558531932</v>
      </c>
      <c r="H151" s="13">
        <f>G151/E151*100</f>
        <v>-1.8864729464872037</v>
      </c>
    </row>
    <row r="152" spans="1:8" x14ac:dyDescent="0.45">
      <c r="A152" s="5" t="str">
        <f>'2_Cleaned_Data'!A151</f>
        <v>STR-1039</v>
      </c>
      <c r="B152" s="18">
        <f>'2_Cleaned_Data'!B151</f>
        <v>45717</v>
      </c>
      <c r="C152" s="5" t="str">
        <f>'2_Cleaned_Data'!C151</f>
        <v>East</v>
      </c>
      <c r="D152" s="5" t="str">
        <f>'2_Cleaned_Data'!D151</f>
        <v>High Street</v>
      </c>
      <c r="E152" s="12">
        <f>'2_Cleaned_Data'!M151</f>
        <v>685830.24</v>
      </c>
      <c r="F152" s="12">
        <f>'5_Multiple_Regression'!$B$324+'5_Multiple_Regression'!$B$325*'2_Cleaned_Data'!E151+'5_Multiple_Regression'!$B$326*'2_Cleaned_Data'!F151+'5_Multiple_Regression'!$B$327*'2_Cleaned_Data'!G151+'5_Multiple_Regression'!$B$328*'2_Cleaned_Data'!I151+'5_Multiple_Regression'!$B$329*IF('2_Cleaned_Data'!D151="Airport",1,0)+'5_Multiple_Regression'!$B$330*IF('2_Cleaned_Data'!D151="High Street",1,0)+'5_Multiple_Regression'!$B$331*IF('2_Cleaned_Data'!D151="Mall",1,0)</f>
        <v>730153.37082283094</v>
      </c>
      <c r="G152" s="12">
        <f>E152-F152</f>
        <v>-44323.13082283095</v>
      </c>
      <c r="H152" s="13">
        <f>G152/E152*100</f>
        <v>-6.4626970695883799</v>
      </c>
    </row>
    <row r="153" spans="1:8" x14ac:dyDescent="0.45">
      <c r="A153" s="5" t="str">
        <f>'2_Cleaned_Data'!A155</f>
        <v>STR-1040</v>
      </c>
      <c r="B153" s="18">
        <f>'2_Cleaned_Data'!B155</f>
        <v>45717</v>
      </c>
      <c r="C153" s="5" t="str">
        <f>'2_Cleaned_Data'!C155</f>
        <v>North</v>
      </c>
      <c r="D153" s="5" t="str">
        <f>'2_Cleaned_Data'!D155</f>
        <v>Mall</v>
      </c>
      <c r="E153" s="12">
        <f>'2_Cleaned_Data'!M155</f>
        <v>724216.07</v>
      </c>
      <c r="F153" s="12">
        <f>'5_Multiple_Regression'!$B$324+'5_Multiple_Regression'!$B$325*'2_Cleaned_Data'!E155+'5_Multiple_Regression'!$B$326*'2_Cleaned_Data'!F155+'5_Multiple_Regression'!$B$327*'2_Cleaned_Data'!G155+'5_Multiple_Regression'!$B$328*'2_Cleaned_Data'!I155+'5_Multiple_Regression'!$B$329*IF('2_Cleaned_Data'!D155="Airport",1,0)+'5_Multiple_Regression'!$B$330*IF('2_Cleaned_Data'!D155="High Street",1,0)+'5_Multiple_Regression'!$B$331*IF('2_Cleaned_Data'!D155="Mall",1,0)</f>
        <v>666802.54832612909</v>
      </c>
      <c r="G153" s="12">
        <f>E153-F153</f>
        <v>57413.521673870855</v>
      </c>
      <c r="H153" s="13">
        <f>G153/E153*100</f>
        <v>7.9276784998530703</v>
      </c>
    </row>
    <row r="154" spans="1:8" x14ac:dyDescent="0.45">
      <c r="A154" s="5" t="str">
        <f>'2_Cleaned_Data'!A156</f>
        <v>STR-1040</v>
      </c>
      <c r="B154" s="18">
        <f>'2_Cleaned_Data'!B156</f>
        <v>45748</v>
      </c>
      <c r="C154" s="5" t="str">
        <f>'2_Cleaned_Data'!C156</f>
        <v>North</v>
      </c>
      <c r="D154" s="5" t="str">
        <f>'2_Cleaned_Data'!D156</f>
        <v>Mall</v>
      </c>
      <c r="E154" s="12">
        <f>'2_Cleaned_Data'!M156</f>
        <v>620973.03</v>
      </c>
      <c r="F154" s="12">
        <f>'5_Multiple_Regression'!$B$324+'5_Multiple_Regression'!$B$325*'2_Cleaned_Data'!E156+'5_Multiple_Regression'!$B$326*'2_Cleaned_Data'!F156+'5_Multiple_Regression'!$B$327*'2_Cleaned_Data'!G156+'5_Multiple_Regression'!$B$328*'2_Cleaned_Data'!I156+'5_Multiple_Regression'!$B$329*IF('2_Cleaned_Data'!D156="Airport",1,0)+'5_Multiple_Regression'!$B$330*IF('2_Cleaned_Data'!D156="High Street",1,0)+'5_Multiple_Regression'!$B$331*IF('2_Cleaned_Data'!D156="Mall",1,0)</f>
        <v>574288.46421221225</v>
      </c>
      <c r="G154" s="12">
        <f>E154-F154</f>
        <v>46684.565787787782</v>
      </c>
      <c r="H154" s="13">
        <f>G154/E154*100</f>
        <v>7.5179699491599141</v>
      </c>
    </row>
    <row r="155" spans="1:8" x14ac:dyDescent="0.45">
      <c r="A155" s="5" t="str">
        <f>'2_Cleaned_Data'!A153</f>
        <v>STR-1040</v>
      </c>
      <c r="B155" s="18">
        <f>'2_Cleaned_Data'!B153</f>
        <v>45658</v>
      </c>
      <c r="C155" s="5" t="str">
        <f>'2_Cleaned_Data'!C153</f>
        <v>North</v>
      </c>
      <c r="D155" s="5" t="str">
        <f>'2_Cleaned_Data'!D153</f>
        <v>Mall</v>
      </c>
      <c r="E155" s="12">
        <f>'2_Cleaned_Data'!M153</f>
        <v>700078.32</v>
      </c>
      <c r="F155" s="12">
        <f>'5_Multiple_Regression'!$B$324+'5_Multiple_Regression'!$B$325*'2_Cleaned_Data'!E153+'5_Multiple_Regression'!$B$326*'2_Cleaned_Data'!F153+'5_Multiple_Regression'!$B$327*'2_Cleaned_Data'!G153+'5_Multiple_Regression'!$B$328*'2_Cleaned_Data'!I153+'5_Multiple_Regression'!$B$329*IF('2_Cleaned_Data'!D153="Airport",1,0)+'5_Multiple_Regression'!$B$330*IF('2_Cleaned_Data'!D153="High Street",1,0)+'5_Multiple_Regression'!$B$331*IF('2_Cleaned_Data'!D153="Mall",1,0)</f>
        <v>718219.54737613257</v>
      </c>
      <c r="G155" s="12">
        <f>E155-F155</f>
        <v>-18141.227376132621</v>
      </c>
      <c r="H155" s="13">
        <f>G155/E155*100</f>
        <v>-2.591313979860514</v>
      </c>
    </row>
    <row r="156" spans="1:8" x14ac:dyDescent="0.45">
      <c r="A156" s="5" t="str">
        <f>'2_Cleaned_Data'!A154</f>
        <v>STR-1040</v>
      </c>
      <c r="B156" s="18">
        <f>'2_Cleaned_Data'!B154</f>
        <v>45689</v>
      </c>
      <c r="C156" s="5" t="str">
        <f>'2_Cleaned_Data'!C154</f>
        <v>North</v>
      </c>
      <c r="D156" s="5" t="str">
        <f>'2_Cleaned_Data'!D154</f>
        <v>Mall</v>
      </c>
      <c r="E156" s="12">
        <f>'2_Cleaned_Data'!M154</f>
        <v>602002.31999999995</v>
      </c>
      <c r="F156" s="12">
        <f>'5_Multiple_Regression'!$B$324+'5_Multiple_Regression'!$B$325*'2_Cleaned_Data'!E154+'5_Multiple_Regression'!$B$326*'2_Cleaned_Data'!F154+'5_Multiple_Regression'!$B$327*'2_Cleaned_Data'!G154+'5_Multiple_Regression'!$B$328*'2_Cleaned_Data'!I154+'5_Multiple_Regression'!$B$329*IF('2_Cleaned_Data'!D154="Airport",1,0)+'5_Multiple_Regression'!$B$330*IF('2_Cleaned_Data'!D154="High Street",1,0)+'5_Multiple_Regression'!$B$331*IF('2_Cleaned_Data'!D154="Mall",1,0)</f>
        <v>646544.38119292702</v>
      </c>
      <c r="G156" s="12">
        <f>E156-F156</f>
        <v>-44542.061192927067</v>
      </c>
      <c r="H156" s="13">
        <f>G156/E156*100</f>
        <v>-7.3989849728364945</v>
      </c>
    </row>
    <row r="157" spans="1:8" x14ac:dyDescent="0.45">
      <c r="A157" s="5" t="str">
        <f>'2_Cleaned_Data'!A158</f>
        <v>STR-1041</v>
      </c>
      <c r="B157" s="18">
        <f>'2_Cleaned_Data'!B158</f>
        <v>45689</v>
      </c>
      <c r="C157" s="5" t="str">
        <f>'2_Cleaned_Data'!C158</f>
        <v>South</v>
      </c>
      <c r="D157" s="5" t="str">
        <f>'2_Cleaned_Data'!D158</f>
        <v>High Street</v>
      </c>
      <c r="E157" s="12">
        <f>'2_Cleaned_Data'!M158</f>
        <v>778298.88</v>
      </c>
      <c r="F157" s="12">
        <f>'5_Multiple_Regression'!$B$324+'5_Multiple_Regression'!$B$325*'2_Cleaned_Data'!E158+'5_Multiple_Regression'!$B$326*'2_Cleaned_Data'!F158+'5_Multiple_Regression'!$B$327*'2_Cleaned_Data'!G158+'5_Multiple_Regression'!$B$328*'2_Cleaned_Data'!I158+'5_Multiple_Regression'!$B$329*IF('2_Cleaned_Data'!D158="Airport",1,0)+'5_Multiple_Regression'!$B$330*IF('2_Cleaned_Data'!D158="High Street",1,0)+'5_Multiple_Regression'!$B$331*IF('2_Cleaned_Data'!D158="Mall",1,0)</f>
        <v>698981.91598304233</v>
      </c>
      <c r="G157" s="12">
        <f>E157-F157</f>
        <v>79316.964016957674</v>
      </c>
      <c r="H157" s="13">
        <f>G157/E157*100</f>
        <v>10.191067474870023</v>
      </c>
    </row>
    <row r="158" spans="1:8" x14ac:dyDescent="0.45">
      <c r="A158" s="5" t="str">
        <f>'2_Cleaned_Data'!A159</f>
        <v>STR-1041</v>
      </c>
      <c r="B158" s="18">
        <f>'2_Cleaned_Data'!B159</f>
        <v>45748</v>
      </c>
      <c r="C158" s="5" t="str">
        <f>'2_Cleaned_Data'!C159</f>
        <v>South</v>
      </c>
      <c r="D158" s="5" t="str">
        <f>'2_Cleaned_Data'!D159</f>
        <v>High Street</v>
      </c>
      <c r="E158" s="12">
        <f>'2_Cleaned_Data'!M159</f>
        <v>692008.64</v>
      </c>
      <c r="F158" s="12">
        <f>'5_Multiple_Regression'!$B$324+'5_Multiple_Regression'!$B$325*'2_Cleaned_Data'!E159+'5_Multiple_Regression'!$B$326*'2_Cleaned_Data'!F159+'5_Multiple_Regression'!$B$327*'2_Cleaned_Data'!G159+'5_Multiple_Regression'!$B$328*'2_Cleaned_Data'!I159+'5_Multiple_Regression'!$B$329*IF('2_Cleaned_Data'!D159="Airport",1,0)+'5_Multiple_Regression'!$B$330*IF('2_Cleaned_Data'!D159="High Street",1,0)+'5_Multiple_Regression'!$B$331*IF('2_Cleaned_Data'!D159="Mall",1,0)</f>
        <v>694615.77323458262</v>
      </c>
      <c r="G158" s="12">
        <f>E158-F158</f>
        <v>-2607.1332345826086</v>
      </c>
      <c r="H158" s="13">
        <f>G158/E158*100</f>
        <v>-0.37674865368481647</v>
      </c>
    </row>
    <row r="159" spans="1:8" x14ac:dyDescent="0.45">
      <c r="A159" s="5" t="str">
        <f>'2_Cleaned_Data'!A157</f>
        <v>STR-1041</v>
      </c>
      <c r="B159" s="18">
        <f>'2_Cleaned_Data'!B157</f>
        <v>45658</v>
      </c>
      <c r="C159" s="5" t="str">
        <f>'2_Cleaned_Data'!C157</f>
        <v>South</v>
      </c>
      <c r="D159" s="5" t="str">
        <f>'2_Cleaned_Data'!D157</f>
        <v>High Street</v>
      </c>
      <c r="E159" s="12">
        <f>'2_Cleaned_Data'!M157</f>
        <v>650480.06000000006</v>
      </c>
      <c r="F159" s="12">
        <f>'5_Multiple_Regression'!$B$324+'5_Multiple_Regression'!$B$325*'2_Cleaned_Data'!E157+'5_Multiple_Regression'!$B$326*'2_Cleaned_Data'!F157+'5_Multiple_Regression'!$B$327*'2_Cleaned_Data'!G157+'5_Multiple_Regression'!$B$328*'2_Cleaned_Data'!I157+'5_Multiple_Regression'!$B$329*IF('2_Cleaned_Data'!D157="Airport",1,0)+'5_Multiple_Regression'!$B$330*IF('2_Cleaned_Data'!D157="High Street",1,0)+'5_Multiple_Regression'!$B$331*IF('2_Cleaned_Data'!D157="Mall",1,0)</f>
        <v>696327.66509251192</v>
      </c>
      <c r="G159" s="12">
        <f>E159-F159</f>
        <v>-45847.605092511862</v>
      </c>
      <c r="H159" s="13">
        <f>G159/E159*100</f>
        <v>-7.0482721780144741</v>
      </c>
    </row>
    <row r="160" spans="1:8" x14ac:dyDescent="0.45">
      <c r="A160" s="5" t="str">
        <f>'2_Cleaned_Data'!A160</f>
        <v>STR-1042</v>
      </c>
      <c r="B160" s="18">
        <f>'2_Cleaned_Data'!B160</f>
        <v>45658</v>
      </c>
      <c r="C160" s="5" t="str">
        <f>'2_Cleaned_Data'!C160</f>
        <v>North</v>
      </c>
      <c r="D160" s="5" t="str">
        <f>'2_Cleaned_Data'!D160</f>
        <v>Mall</v>
      </c>
      <c r="E160" s="12">
        <f>'2_Cleaned_Data'!M160</f>
        <v>825797.91</v>
      </c>
      <c r="F160" s="12">
        <f>'5_Multiple_Regression'!$B$324+'5_Multiple_Regression'!$B$325*'2_Cleaned_Data'!E160+'5_Multiple_Regression'!$B$326*'2_Cleaned_Data'!F160+'5_Multiple_Regression'!$B$327*'2_Cleaned_Data'!G160+'5_Multiple_Regression'!$B$328*'2_Cleaned_Data'!I160+'5_Multiple_Regression'!$B$329*IF('2_Cleaned_Data'!D160="Airport",1,0)+'5_Multiple_Regression'!$B$330*IF('2_Cleaned_Data'!D160="High Street",1,0)+'5_Multiple_Regression'!$B$331*IF('2_Cleaned_Data'!D160="Mall",1,0)</f>
        <v>786680.72156135086</v>
      </c>
      <c r="G160" s="12">
        <f>E160-F160</f>
        <v>39117.188438649173</v>
      </c>
      <c r="H160" s="13">
        <f>G160/E160*100</f>
        <v>4.7368960329106633</v>
      </c>
    </row>
    <row r="161" spans="1:8" x14ac:dyDescent="0.45">
      <c r="A161" s="5" t="str">
        <f>'2_Cleaned_Data'!A163</f>
        <v>STR-1042</v>
      </c>
      <c r="B161" s="18">
        <f>'2_Cleaned_Data'!B163</f>
        <v>45748</v>
      </c>
      <c r="C161" s="5" t="str">
        <f>'2_Cleaned_Data'!C163</f>
        <v>North</v>
      </c>
      <c r="D161" s="5" t="str">
        <f>'2_Cleaned_Data'!D163</f>
        <v>Mall</v>
      </c>
      <c r="E161" s="12">
        <f>'2_Cleaned_Data'!M163</f>
        <v>820729.29</v>
      </c>
      <c r="F161" s="12">
        <f>'5_Multiple_Regression'!$B$324+'5_Multiple_Regression'!$B$325*'2_Cleaned_Data'!E163+'5_Multiple_Regression'!$B$326*'2_Cleaned_Data'!F163+'5_Multiple_Regression'!$B$327*'2_Cleaned_Data'!G163+'5_Multiple_Regression'!$B$328*'2_Cleaned_Data'!I163+'5_Multiple_Regression'!$B$329*IF('2_Cleaned_Data'!D163="Airport",1,0)+'5_Multiple_Regression'!$B$330*IF('2_Cleaned_Data'!D163="High Street",1,0)+'5_Multiple_Regression'!$B$331*IF('2_Cleaned_Data'!D163="Mall",1,0)</f>
        <v>817361.34773197595</v>
      </c>
      <c r="G161" s="12">
        <f>E161-F161</f>
        <v>3367.9422680240823</v>
      </c>
      <c r="H161" s="13">
        <f>G161/E161*100</f>
        <v>0.41035970192121229</v>
      </c>
    </row>
    <row r="162" spans="1:8" x14ac:dyDescent="0.45">
      <c r="A162" s="5" t="str">
        <f>'2_Cleaned_Data'!A162</f>
        <v>STR-1042</v>
      </c>
      <c r="B162" s="18">
        <f>'2_Cleaned_Data'!B162</f>
        <v>45717</v>
      </c>
      <c r="C162" s="5" t="str">
        <f>'2_Cleaned_Data'!C162</f>
        <v>North</v>
      </c>
      <c r="D162" s="5" t="str">
        <f>'2_Cleaned_Data'!D162</f>
        <v>Mall</v>
      </c>
      <c r="E162" s="12">
        <f>'2_Cleaned_Data'!M162</f>
        <v>665534.69999999995</v>
      </c>
      <c r="F162" s="12">
        <f>'5_Multiple_Regression'!$B$324+'5_Multiple_Regression'!$B$325*'2_Cleaned_Data'!E162+'5_Multiple_Regression'!$B$326*'2_Cleaned_Data'!F162+'5_Multiple_Regression'!$B$327*'2_Cleaned_Data'!G162+'5_Multiple_Regression'!$B$328*'2_Cleaned_Data'!I162+'5_Multiple_Regression'!$B$329*IF('2_Cleaned_Data'!D162="Airport",1,0)+'5_Multiple_Regression'!$B$330*IF('2_Cleaned_Data'!D162="High Street",1,0)+'5_Multiple_Regression'!$B$331*IF('2_Cleaned_Data'!D162="Mall",1,0)</f>
        <v>682447.39209999528</v>
      </c>
      <c r="G162" s="12">
        <f>E162-F162</f>
        <v>-16912.692099995329</v>
      </c>
      <c r="H162" s="13">
        <f>G162/E162*100</f>
        <v>-2.5412186772523402</v>
      </c>
    </row>
    <row r="163" spans="1:8" x14ac:dyDescent="0.45">
      <c r="A163" s="5" t="str">
        <f>'2_Cleaned_Data'!A161</f>
        <v>STR-1042</v>
      </c>
      <c r="B163" s="18">
        <f>'2_Cleaned_Data'!B161</f>
        <v>45689</v>
      </c>
      <c r="C163" s="5" t="str">
        <f>'2_Cleaned_Data'!C161</f>
        <v>North</v>
      </c>
      <c r="D163" s="5" t="str">
        <f>'2_Cleaned_Data'!D161</f>
        <v>Mall</v>
      </c>
      <c r="E163" s="12">
        <f>'2_Cleaned_Data'!M161</f>
        <v>706285.52</v>
      </c>
      <c r="F163" s="12">
        <f>'5_Multiple_Regression'!$B$324+'5_Multiple_Regression'!$B$325*'2_Cleaned_Data'!E161+'5_Multiple_Regression'!$B$326*'2_Cleaned_Data'!F161+'5_Multiple_Regression'!$B$327*'2_Cleaned_Data'!G161+'5_Multiple_Regression'!$B$328*'2_Cleaned_Data'!I161+'5_Multiple_Regression'!$B$329*IF('2_Cleaned_Data'!D161="Airport",1,0)+'5_Multiple_Regression'!$B$330*IF('2_Cleaned_Data'!D161="High Street",1,0)+'5_Multiple_Regression'!$B$331*IF('2_Cleaned_Data'!D161="Mall",1,0)</f>
        <v>736796.91312731337</v>
      </c>
      <c r="G163" s="12">
        <f>E163-F163</f>
        <v>-30511.393127313349</v>
      </c>
      <c r="H163" s="13">
        <f>G163/E163*100</f>
        <v>-4.3199799887322268</v>
      </c>
    </row>
    <row r="164" spans="1:8" x14ac:dyDescent="0.45">
      <c r="A164" s="5" t="str">
        <f>'2_Cleaned_Data'!A166</f>
        <v>STR-1043</v>
      </c>
      <c r="B164" s="18">
        <f>'2_Cleaned_Data'!B166</f>
        <v>45717</v>
      </c>
      <c r="C164" s="5" t="str">
        <f>'2_Cleaned_Data'!C166</f>
        <v>East</v>
      </c>
      <c r="D164" s="5" t="str">
        <f>'2_Cleaned_Data'!D166</f>
        <v>Residential</v>
      </c>
      <c r="E164" s="12">
        <f>'2_Cleaned_Data'!M166</f>
        <v>769702.76</v>
      </c>
      <c r="F164" s="12">
        <f>'5_Multiple_Regression'!$B$324+'5_Multiple_Regression'!$B$325*'2_Cleaned_Data'!E166+'5_Multiple_Regression'!$B$326*'2_Cleaned_Data'!F166+'5_Multiple_Regression'!$B$327*'2_Cleaned_Data'!G166+'5_Multiple_Regression'!$B$328*'2_Cleaned_Data'!I166+'5_Multiple_Regression'!$B$329*IF('2_Cleaned_Data'!D166="Airport",1,0)+'5_Multiple_Regression'!$B$330*IF('2_Cleaned_Data'!D166="High Street",1,0)+'5_Multiple_Regression'!$B$331*IF('2_Cleaned_Data'!D166="Mall",1,0)</f>
        <v>728774.71607679396</v>
      </c>
      <c r="G164" s="12">
        <f>E164-F164</f>
        <v>40928.043923206045</v>
      </c>
      <c r="H164" s="13">
        <f>G164/E164*100</f>
        <v>5.3173830275996465</v>
      </c>
    </row>
    <row r="165" spans="1:8" x14ac:dyDescent="0.45">
      <c r="A165" s="5" t="str">
        <f>'2_Cleaned_Data'!A167</f>
        <v>STR-1043</v>
      </c>
      <c r="B165" s="18">
        <f>'2_Cleaned_Data'!B167</f>
        <v>45748</v>
      </c>
      <c r="C165" s="5" t="str">
        <f>'2_Cleaned_Data'!C167</f>
        <v>East</v>
      </c>
      <c r="D165" s="5" t="str">
        <f>'2_Cleaned_Data'!D167</f>
        <v>Residential</v>
      </c>
      <c r="E165" s="12">
        <f>'2_Cleaned_Data'!M167</f>
        <v>679731.57</v>
      </c>
      <c r="F165" s="12">
        <f>'5_Multiple_Regression'!$B$324+'5_Multiple_Regression'!$B$325*'2_Cleaned_Data'!E167+'5_Multiple_Regression'!$B$326*'2_Cleaned_Data'!F167+'5_Multiple_Regression'!$B$327*'2_Cleaned_Data'!G167+'5_Multiple_Regression'!$B$328*'2_Cleaned_Data'!I167+'5_Multiple_Regression'!$B$329*IF('2_Cleaned_Data'!D167="Airport",1,0)+'5_Multiple_Regression'!$B$330*IF('2_Cleaned_Data'!D167="High Street",1,0)+'5_Multiple_Regression'!$B$331*IF('2_Cleaned_Data'!D167="Mall",1,0)</f>
        <v>685805.0500182379</v>
      </c>
      <c r="G165" s="12">
        <f>E165-F165</f>
        <v>-6073.4800182379549</v>
      </c>
      <c r="H165" s="13">
        <f>G165/E165*100</f>
        <v>-0.8935115398918364</v>
      </c>
    </row>
    <row r="166" spans="1:8" x14ac:dyDescent="0.45">
      <c r="A166" s="5" t="str">
        <f>'2_Cleaned_Data'!A164</f>
        <v>STR-1043</v>
      </c>
      <c r="B166" s="18">
        <f>'2_Cleaned_Data'!B164</f>
        <v>45658</v>
      </c>
      <c r="C166" s="5" t="str">
        <f>'2_Cleaned_Data'!C164</f>
        <v>East</v>
      </c>
      <c r="D166" s="5" t="str">
        <f>'2_Cleaned_Data'!D164</f>
        <v>Residential</v>
      </c>
      <c r="E166" s="12">
        <f>'2_Cleaned_Data'!M164</f>
        <v>739831.73</v>
      </c>
      <c r="F166" s="12">
        <f>'5_Multiple_Regression'!$B$324+'5_Multiple_Regression'!$B$325*'2_Cleaned_Data'!E164+'5_Multiple_Regression'!$B$326*'2_Cleaned_Data'!F164+'5_Multiple_Regression'!$B$327*'2_Cleaned_Data'!G164+'5_Multiple_Regression'!$B$328*'2_Cleaned_Data'!I164+'5_Multiple_Regression'!$B$329*IF('2_Cleaned_Data'!D164="Airport",1,0)+'5_Multiple_Regression'!$B$330*IF('2_Cleaned_Data'!D164="High Street",1,0)+'5_Multiple_Regression'!$B$331*IF('2_Cleaned_Data'!D164="Mall",1,0)</f>
        <v>764007.36293236609</v>
      </c>
      <c r="G166" s="12">
        <f>E166-F166</f>
        <v>-24175.632932366105</v>
      </c>
      <c r="H166" s="13">
        <f>G166/E166*100</f>
        <v>-3.2677204764340271</v>
      </c>
    </row>
    <row r="167" spans="1:8" x14ac:dyDescent="0.45">
      <c r="A167" s="5" t="str">
        <f>'2_Cleaned_Data'!A165</f>
        <v>STR-1043</v>
      </c>
      <c r="B167" s="18">
        <f>'2_Cleaned_Data'!B165</f>
        <v>45689</v>
      </c>
      <c r="C167" s="5" t="str">
        <f>'2_Cleaned_Data'!C165</f>
        <v>East</v>
      </c>
      <c r="D167" s="5" t="str">
        <f>'2_Cleaned_Data'!D165</f>
        <v>Residential</v>
      </c>
      <c r="E167" s="12">
        <f>'2_Cleaned_Data'!M165</f>
        <v>593637.14</v>
      </c>
      <c r="F167" s="12">
        <f>'5_Multiple_Regression'!$B$324+'5_Multiple_Regression'!$B$325*'2_Cleaned_Data'!E165+'5_Multiple_Regression'!$B$326*'2_Cleaned_Data'!F165+'5_Multiple_Regression'!$B$327*'2_Cleaned_Data'!G165+'5_Multiple_Regression'!$B$328*'2_Cleaned_Data'!I165+'5_Multiple_Regression'!$B$329*IF('2_Cleaned_Data'!D165="Airport",1,0)+'5_Multiple_Regression'!$B$330*IF('2_Cleaned_Data'!D165="High Street",1,0)+'5_Multiple_Regression'!$B$331*IF('2_Cleaned_Data'!D165="Mall",1,0)</f>
        <v>663149.21954115399</v>
      </c>
      <c r="G167" s="12">
        <f>E167-F167</f>
        <v>-69512.079541153973</v>
      </c>
      <c r="H167" s="13">
        <f>G167/E167*100</f>
        <v>-11.709523353130159</v>
      </c>
    </row>
    <row r="168" spans="1:8" x14ac:dyDescent="0.45">
      <c r="A168" s="5" t="str">
        <f>'2_Cleaned_Data'!A168</f>
        <v>STR-1044</v>
      </c>
      <c r="B168" s="18">
        <f>'2_Cleaned_Data'!B168</f>
        <v>45658</v>
      </c>
      <c r="C168" s="5" t="str">
        <f>'2_Cleaned_Data'!C168</f>
        <v>East</v>
      </c>
      <c r="D168" s="5" t="str">
        <f>'2_Cleaned_Data'!D168</f>
        <v>Residential</v>
      </c>
      <c r="E168" s="12">
        <f>'2_Cleaned_Data'!M168</f>
        <v>780344.18</v>
      </c>
      <c r="F168" s="12">
        <f>'5_Multiple_Regression'!$B$324+'5_Multiple_Regression'!$B$325*'2_Cleaned_Data'!E168+'5_Multiple_Regression'!$B$326*'2_Cleaned_Data'!F168+'5_Multiple_Regression'!$B$327*'2_Cleaned_Data'!G168+'5_Multiple_Regression'!$B$328*'2_Cleaned_Data'!I168+'5_Multiple_Regression'!$B$329*IF('2_Cleaned_Data'!D168="Airport",1,0)+'5_Multiple_Regression'!$B$330*IF('2_Cleaned_Data'!D168="High Street",1,0)+'5_Multiple_Regression'!$B$331*IF('2_Cleaned_Data'!D168="Mall",1,0)</f>
        <v>765921.52601025812</v>
      </c>
      <c r="G168" s="12">
        <f>E168-F168</f>
        <v>14422.653989741928</v>
      </c>
      <c r="H168" s="13">
        <f>G168/E168*100</f>
        <v>1.8482426548938862</v>
      </c>
    </row>
    <row r="169" spans="1:8" x14ac:dyDescent="0.45">
      <c r="A169" s="5" t="str">
        <f>'2_Cleaned_Data'!A171</f>
        <v>STR-1044</v>
      </c>
      <c r="B169" s="18">
        <f>'2_Cleaned_Data'!B171</f>
        <v>45748</v>
      </c>
      <c r="C169" s="5" t="str">
        <f>'2_Cleaned_Data'!C171</f>
        <v>East</v>
      </c>
      <c r="D169" s="5" t="str">
        <f>'2_Cleaned_Data'!D171</f>
        <v>Residential</v>
      </c>
      <c r="E169" s="12">
        <f>'2_Cleaned_Data'!M171</f>
        <v>804264</v>
      </c>
      <c r="F169" s="12">
        <f>'5_Multiple_Regression'!$B$324+'5_Multiple_Regression'!$B$325*'2_Cleaned_Data'!E171+'5_Multiple_Regression'!$B$326*'2_Cleaned_Data'!F171+'5_Multiple_Regression'!$B$327*'2_Cleaned_Data'!G171+'5_Multiple_Regression'!$B$328*'2_Cleaned_Data'!I171+'5_Multiple_Regression'!$B$329*IF('2_Cleaned_Data'!D171="Airport",1,0)+'5_Multiple_Regression'!$B$330*IF('2_Cleaned_Data'!D171="High Street",1,0)+'5_Multiple_Regression'!$B$331*IF('2_Cleaned_Data'!D171="Mall",1,0)</f>
        <v>817672.16246907832</v>
      </c>
      <c r="G169" s="12">
        <f>E169-F169</f>
        <v>-13408.162469078321</v>
      </c>
      <c r="H169" s="13">
        <f>G169/E169*100</f>
        <v>-1.6671344818465481</v>
      </c>
    </row>
    <row r="170" spans="1:8" x14ac:dyDescent="0.45">
      <c r="A170" s="5" t="str">
        <f>'2_Cleaned_Data'!A170</f>
        <v>STR-1044</v>
      </c>
      <c r="B170" s="18">
        <f>'2_Cleaned_Data'!B170</f>
        <v>45717</v>
      </c>
      <c r="C170" s="5" t="str">
        <f>'2_Cleaned_Data'!C170</f>
        <v>East</v>
      </c>
      <c r="D170" s="5" t="str">
        <f>'2_Cleaned_Data'!D170</f>
        <v>Residential</v>
      </c>
      <c r="E170" s="12">
        <f>'2_Cleaned_Data'!M170</f>
        <v>758138.29</v>
      </c>
      <c r="F170" s="12">
        <f>'5_Multiple_Regression'!$B$324+'5_Multiple_Regression'!$B$325*'2_Cleaned_Data'!E170+'5_Multiple_Regression'!$B$326*'2_Cleaned_Data'!F170+'5_Multiple_Regression'!$B$327*'2_Cleaned_Data'!G170+'5_Multiple_Regression'!$B$328*'2_Cleaned_Data'!I170+'5_Multiple_Regression'!$B$329*IF('2_Cleaned_Data'!D170="Airport",1,0)+'5_Multiple_Regression'!$B$330*IF('2_Cleaned_Data'!D170="High Street",1,0)+'5_Multiple_Regression'!$B$331*IF('2_Cleaned_Data'!D170="Mall",1,0)</f>
        <v>777694.08400791511</v>
      </c>
      <c r="G170" s="12">
        <f>E170-F170</f>
        <v>-19555.794007915072</v>
      </c>
      <c r="H170" s="13">
        <f>G170/E170*100</f>
        <v>-2.5794494574222169</v>
      </c>
    </row>
    <row r="171" spans="1:8" x14ac:dyDescent="0.45">
      <c r="A171" s="5" t="str">
        <f>'2_Cleaned_Data'!A169</f>
        <v>STR-1044</v>
      </c>
      <c r="B171" s="18">
        <f>'2_Cleaned_Data'!B169</f>
        <v>45689</v>
      </c>
      <c r="C171" s="5" t="str">
        <f>'2_Cleaned_Data'!C169</f>
        <v>East</v>
      </c>
      <c r="D171" s="5" t="str">
        <f>'2_Cleaned_Data'!D169</f>
        <v>Residential</v>
      </c>
      <c r="E171" s="12">
        <f>'2_Cleaned_Data'!M169</f>
        <v>721364.11</v>
      </c>
      <c r="F171" s="12">
        <f>'5_Multiple_Regression'!$B$324+'5_Multiple_Regression'!$B$325*'2_Cleaned_Data'!E169+'5_Multiple_Regression'!$B$326*'2_Cleaned_Data'!F169+'5_Multiple_Regression'!$B$327*'2_Cleaned_Data'!G169+'5_Multiple_Regression'!$B$328*'2_Cleaned_Data'!I169+'5_Multiple_Regression'!$B$329*IF('2_Cleaned_Data'!D169="Airport",1,0)+'5_Multiple_Regression'!$B$330*IF('2_Cleaned_Data'!D169="High Street",1,0)+'5_Multiple_Regression'!$B$331*IF('2_Cleaned_Data'!D169="Mall",1,0)</f>
        <v>752994.76930727798</v>
      </c>
      <c r="G171" s="12">
        <f>E171-F171</f>
        <v>-31630.659307277994</v>
      </c>
      <c r="H171" s="13">
        <f>G171/E171*100</f>
        <v>-4.384839621044911</v>
      </c>
    </row>
    <row r="172" spans="1:8" x14ac:dyDescent="0.45">
      <c r="A172" s="5" t="str">
        <f>'2_Cleaned_Data'!A173</f>
        <v>STR-1045</v>
      </c>
      <c r="B172" s="18">
        <f>'2_Cleaned_Data'!B173</f>
        <v>45689</v>
      </c>
      <c r="C172" s="5" t="str">
        <f>'2_Cleaned_Data'!C173</f>
        <v>West</v>
      </c>
      <c r="D172" s="5" t="str">
        <f>'2_Cleaned_Data'!D173</f>
        <v>Airport</v>
      </c>
      <c r="E172" s="12">
        <f>'2_Cleaned_Data'!M173</f>
        <v>783582</v>
      </c>
      <c r="F172" s="12">
        <f>'5_Multiple_Regression'!$B$324+'5_Multiple_Regression'!$B$325*'2_Cleaned_Data'!E173+'5_Multiple_Regression'!$B$326*'2_Cleaned_Data'!F173+'5_Multiple_Regression'!$B$327*'2_Cleaned_Data'!G173+'5_Multiple_Regression'!$B$328*'2_Cleaned_Data'!I173+'5_Multiple_Regression'!$B$329*IF('2_Cleaned_Data'!D173="Airport",1,0)+'5_Multiple_Regression'!$B$330*IF('2_Cleaned_Data'!D173="High Street",1,0)+'5_Multiple_Regression'!$B$331*IF('2_Cleaned_Data'!D173="Mall",1,0)</f>
        <v>722093.60308266233</v>
      </c>
      <c r="G172" s="12">
        <f>E172-F172</f>
        <v>61488.396917337668</v>
      </c>
      <c r="H172" s="13">
        <f>G172/E172*100</f>
        <v>7.8470915510230794</v>
      </c>
    </row>
    <row r="173" spans="1:8" x14ac:dyDescent="0.45">
      <c r="A173" s="5" t="str">
        <f>'2_Cleaned_Data'!A175</f>
        <v>STR-1045</v>
      </c>
      <c r="B173" s="18">
        <f>'2_Cleaned_Data'!B175</f>
        <v>45748</v>
      </c>
      <c r="C173" s="5" t="str">
        <f>'2_Cleaned_Data'!C175</f>
        <v>West</v>
      </c>
      <c r="D173" s="5" t="str">
        <f>'2_Cleaned_Data'!D175</f>
        <v>Airport</v>
      </c>
      <c r="E173" s="12">
        <f>'2_Cleaned_Data'!M175</f>
        <v>898031.04</v>
      </c>
      <c r="F173" s="12">
        <f>'5_Multiple_Regression'!$B$324+'5_Multiple_Regression'!$B$325*'2_Cleaned_Data'!E175+'5_Multiple_Regression'!$B$326*'2_Cleaned_Data'!F175+'5_Multiple_Regression'!$B$327*'2_Cleaned_Data'!G175+'5_Multiple_Regression'!$B$328*'2_Cleaned_Data'!I175+'5_Multiple_Regression'!$B$329*IF('2_Cleaned_Data'!D175="Airport",1,0)+'5_Multiple_Regression'!$B$330*IF('2_Cleaned_Data'!D175="High Street",1,0)+'5_Multiple_Regression'!$B$331*IF('2_Cleaned_Data'!D175="Mall",1,0)</f>
        <v>849733.57431079785</v>
      </c>
      <c r="G173" s="12">
        <f>E173-F173</f>
        <v>48297.465689202189</v>
      </c>
      <c r="H173" s="13">
        <f>G173/E173*100</f>
        <v>5.3781510368730894</v>
      </c>
    </row>
    <row r="174" spans="1:8" x14ac:dyDescent="0.45">
      <c r="A174" s="5" t="str">
        <f>'2_Cleaned_Data'!A174</f>
        <v>STR-1045</v>
      </c>
      <c r="B174" s="18">
        <f>'2_Cleaned_Data'!B174</f>
        <v>45717</v>
      </c>
      <c r="C174" s="5" t="str">
        <f>'2_Cleaned_Data'!C174</f>
        <v>West</v>
      </c>
      <c r="D174" s="5" t="str">
        <f>'2_Cleaned_Data'!D174</f>
        <v>Airport</v>
      </c>
      <c r="E174" s="12">
        <f>'2_Cleaned_Data'!M174</f>
        <v>781955.52</v>
      </c>
      <c r="F174" s="12">
        <f>'5_Multiple_Regression'!$B$324+'5_Multiple_Regression'!$B$325*'2_Cleaned_Data'!E174+'5_Multiple_Regression'!$B$326*'2_Cleaned_Data'!F174+'5_Multiple_Regression'!$B$327*'2_Cleaned_Data'!G174+'5_Multiple_Regression'!$B$328*'2_Cleaned_Data'!I174+'5_Multiple_Regression'!$B$329*IF('2_Cleaned_Data'!D174="Airport",1,0)+'5_Multiple_Regression'!$B$330*IF('2_Cleaned_Data'!D174="High Street",1,0)+'5_Multiple_Regression'!$B$331*IF('2_Cleaned_Data'!D174="Mall",1,0)</f>
        <v>761929.59279228712</v>
      </c>
      <c r="G174" s="12">
        <f>E174-F174</f>
        <v>20025.927207712899</v>
      </c>
      <c r="H174" s="13">
        <f>G174/E174*100</f>
        <v>2.5610059262338734</v>
      </c>
    </row>
    <row r="175" spans="1:8" x14ac:dyDescent="0.45">
      <c r="A175" s="5" t="str">
        <f>'2_Cleaned_Data'!A172</f>
        <v>STR-1045</v>
      </c>
      <c r="B175" s="18">
        <f>'2_Cleaned_Data'!B172</f>
        <v>45658</v>
      </c>
      <c r="C175" s="5" t="str">
        <f>'2_Cleaned_Data'!C172</f>
        <v>West</v>
      </c>
      <c r="D175" s="5" t="str">
        <f>'2_Cleaned_Data'!D172</f>
        <v>Airport</v>
      </c>
      <c r="E175" s="12">
        <f>'2_Cleaned_Data'!M172</f>
        <v>887537.75</v>
      </c>
      <c r="F175" s="12">
        <f>'5_Multiple_Regression'!$B$324+'5_Multiple_Regression'!$B$325*'2_Cleaned_Data'!E172+'5_Multiple_Regression'!$B$326*'2_Cleaned_Data'!F172+'5_Multiple_Regression'!$B$327*'2_Cleaned_Data'!G172+'5_Multiple_Regression'!$B$328*'2_Cleaned_Data'!I172+'5_Multiple_Regression'!$B$329*IF('2_Cleaned_Data'!D172="Airport",1,0)+'5_Multiple_Regression'!$B$330*IF('2_Cleaned_Data'!D172="High Street",1,0)+'5_Multiple_Regression'!$B$331*IF('2_Cleaned_Data'!D172="Mall",1,0)</f>
        <v>882044.75540927495</v>
      </c>
      <c r="G175" s="12">
        <f>E175-F175</f>
        <v>5492.9945907250512</v>
      </c>
      <c r="H175" s="13">
        <f>G175/E175*100</f>
        <v>0.6189026428143537</v>
      </c>
    </row>
    <row r="176" spans="1:8" x14ac:dyDescent="0.45">
      <c r="A176" s="5" t="str">
        <f>'2_Cleaned_Data'!A177</f>
        <v>STR-1046</v>
      </c>
      <c r="B176" s="18">
        <f>'2_Cleaned_Data'!B177</f>
        <v>45689</v>
      </c>
      <c r="C176" s="5" t="str">
        <f>'2_Cleaned_Data'!C177</f>
        <v>West</v>
      </c>
      <c r="D176" s="5" t="str">
        <f>'2_Cleaned_Data'!D177</f>
        <v>Residential</v>
      </c>
      <c r="E176" s="12">
        <f>'2_Cleaned_Data'!M177</f>
        <v>751393.88</v>
      </c>
      <c r="F176" s="12">
        <f>'5_Multiple_Regression'!$B$324+'5_Multiple_Regression'!$B$325*'2_Cleaned_Data'!E177+'5_Multiple_Regression'!$B$326*'2_Cleaned_Data'!F177+'5_Multiple_Regression'!$B$327*'2_Cleaned_Data'!G177+'5_Multiple_Regression'!$B$328*'2_Cleaned_Data'!I177+'5_Multiple_Regression'!$B$329*IF('2_Cleaned_Data'!D177="Airport",1,0)+'5_Multiple_Regression'!$B$330*IF('2_Cleaned_Data'!D177="High Street",1,0)+'5_Multiple_Regression'!$B$331*IF('2_Cleaned_Data'!D177="Mall",1,0)</f>
        <v>739268.50648130756</v>
      </c>
      <c r="G176" s="12">
        <f>E176-F176</f>
        <v>12125.373518692446</v>
      </c>
      <c r="H176" s="13">
        <f>G176/E176*100</f>
        <v>1.613717364678622</v>
      </c>
    </row>
    <row r="177" spans="1:8" x14ac:dyDescent="0.45">
      <c r="A177" s="5" t="str">
        <f>'2_Cleaned_Data'!A176</f>
        <v>STR-1046</v>
      </c>
      <c r="B177" s="18">
        <f>'2_Cleaned_Data'!B176</f>
        <v>45658</v>
      </c>
      <c r="C177" s="5" t="str">
        <f>'2_Cleaned_Data'!C176</f>
        <v>West</v>
      </c>
      <c r="D177" s="5" t="str">
        <f>'2_Cleaned_Data'!D176</f>
        <v>Residential</v>
      </c>
      <c r="E177" s="12">
        <f>'2_Cleaned_Data'!M176</f>
        <v>855341.28</v>
      </c>
      <c r="F177" s="12">
        <f>'5_Multiple_Regression'!$B$324+'5_Multiple_Regression'!$B$325*'2_Cleaned_Data'!E176+'5_Multiple_Regression'!$B$326*'2_Cleaned_Data'!F176+'5_Multiple_Regression'!$B$327*'2_Cleaned_Data'!G176+'5_Multiple_Regression'!$B$328*'2_Cleaned_Data'!I176+'5_Multiple_Regression'!$B$329*IF('2_Cleaned_Data'!D176="Airport",1,0)+'5_Multiple_Regression'!$B$330*IF('2_Cleaned_Data'!D176="High Street",1,0)+'5_Multiple_Regression'!$B$331*IF('2_Cleaned_Data'!D176="Mall",1,0)</f>
        <v>845016.26617562852</v>
      </c>
      <c r="G177" s="12">
        <f>E177-F177</f>
        <v>10325.013824371505</v>
      </c>
      <c r="H177" s="13">
        <f>G177/E177*100</f>
        <v>1.2071221237412397</v>
      </c>
    </row>
    <row r="178" spans="1:8" x14ac:dyDescent="0.45">
      <c r="A178" s="5" t="str">
        <f>'2_Cleaned_Data'!A178</f>
        <v>STR-1046</v>
      </c>
      <c r="B178" s="18">
        <f>'2_Cleaned_Data'!B178</f>
        <v>45717</v>
      </c>
      <c r="C178" s="5" t="str">
        <f>'2_Cleaned_Data'!C178</f>
        <v>West</v>
      </c>
      <c r="D178" s="5" t="str">
        <f>'2_Cleaned_Data'!D178</f>
        <v>Residential</v>
      </c>
      <c r="E178" s="12">
        <f>'2_Cleaned_Data'!M178</f>
        <v>761077.08</v>
      </c>
      <c r="F178" s="12">
        <f>'5_Multiple_Regression'!$B$324+'5_Multiple_Regression'!$B$325*'2_Cleaned_Data'!E178+'5_Multiple_Regression'!$B$326*'2_Cleaned_Data'!F178+'5_Multiple_Regression'!$B$327*'2_Cleaned_Data'!G178+'5_Multiple_Regression'!$B$328*'2_Cleaned_Data'!I178+'5_Multiple_Regression'!$B$329*IF('2_Cleaned_Data'!D178="Airport",1,0)+'5_Multiple_Regression'!$B$330*IF('2_Cleaned_Data'!D178="High Street",1,0)+'5_Multiple_Regression'!$B$331*IF('2_Cleaned_Data'!D178="Mall",1,0)</f>
        <v>751970.43677227572</v>
      </c>
      <c r="G178" s="12">
        <f>E178-F178</f>
        <v>9106.643227724242</v>
      </c>
      <c r="H178" s="13">
        <f>G178/E178*100</f>
        <v>1.196546771284223</v>
      </c>
    </row>
    <row r="179" spans="1:8" x14ac:dyDescent="0.45">
      <c r="A179" s="5" t="str">
        <f>'2_Cleaned_Data'!A179</f>
        <v>STR-1046</v>
      </c>
      <c r="B179" s="18">
        <f>'2_Cleaned_Data'!B179</f>
        <v>45748</v>
      </c>
      <c r="C179" s="5" t="str">
        <f>'2_Cleaned_Data'!C179</f>
        <v>West</v>
      </c>
      <c r="D179" s="5" t="str">
        <f>'2_Cleaned_Data'!D179</f>
        <v>Residential</v>
      </c>
      <c r="E179" s="12">
        <f>'2_Cleaned_Data'!M179</f>
        <v>819660.59</v>
      </c>
      <c r="F179" s="12">
        <f>'5_Multiple_Regression'!$B$324+'5_Multiple_Regression'!$B$325*'2_Cleaned_Data'!E179+'5_Multiple_Regression'!$B$326*'2_Cleaned_Data'!F179+'5_Multiple_Regression'!$B$327*'2_Cleaned_Data'!G179+'5_Multiple_Regression'!$B$328*'2_Cleaned_Data'!I179+'5_Multiple_Regression'!$B$329*IF('2_Cleaned_Data'!D179="Airport",1,0)+'5_Multiple_Regression'!$B$330*IF('2_Cleaned_Data'!D179="High Street",1,0)+'5_Multiple_Regression'!$B$331*IF('2_Cleaned_Data'!D179="Mall",1,0)</f>
        <v>817177.14574193442</v>
      </c>
      <c r="G179" s="12">
        <f>E179-F179</f>
        <v>2483.444258065545</v>
      </c>
      <c r="H179" s="13">
        <f>G179/E179*100</f>
        <v>0.30298446556586855</v>
      </c>
    </row>
    <row r="180" spans="1:8" x14ac:dyDescent="0.45">
      <c r="A180" s="5" t="str">
        <f>'2_Cleaned_Data'!A182</f>
        <v>STR-1047</v>
      </c>
      <c r="B180" s="18">
        <f>'2_Cleaned_Data'!B182</f>
        <v>45717</v>
      </c>
      <c r="C180" s="5" t="str">
        <f>'2_Cleaned_Data'!C182</f>
        <v>North</v>
      </c>
      <c r="D180" s="5" t="str">
        <f>'2_Cleaned_Data'!D182</f>
        <v>High Street</v>
      </c>
      <c r="E180" s="12">
        <f>'2_Cleaned_Data'!M182</f>
        <v>765906.95</v>
      </c>
      <c r="F180" s="12">
        <f>'5_Multiple_Regression'!$B$324+'5_Multiple_Regression'!$B$325*'2_Cleaned_Data'!E182+'5_Multiple_Regression'!$B$326*'2_Cleaned_Data'!F182+'5_Multiple_Regression'!$B$327*'2_Cleaned_Data'!G182+'5_Multiple_Regression'!$B$328*'2_Cleaned_Data'!I182+'5_Multiple_Regression'!$B$329*IF('2_Cleaned_Data'!D182="Airport",1,0)+'5_Multiple_Regression'!$B$330*IF('2_Cleaned_Data'!D182="High Street",1,0)+'5_Multiple_Regression'!$B$331*IF('2_Cleaned_Data'!D182="Mall",1,0)</f>
        <v>703342.23896795465</v>
      </c>
      <c r="G180" s="12">
        <f>E180-F180</f>
        <v>62564.711032045307</v>
      </c>
      <c r="H180" s="13">
        <f>G180/E180*100</f>
        <v>8.1687091404569845</v>
      </c>
    </row>
    <row r="181" spans="1:8" x14ac:dyDescent="0.45">
      <c r="A181" s="5" t="str">
        <f>'2_Cleaned_Data'!A181</f>
        <v>STR-1047</v>
      </c>
      <c r="B181" s="18">
        <f>'2_Cleaned_Data'!B181</f>
        <v>45689</v>
      </c>
      <c r="C181" s="5" t="str">
        <f>'2_Cleaned_Data'!C181</f>
        <v>North</v>
      </c>
      <c r="D181" s="5" t="str">
        <f>'2_Cleaned_Data'!D181</f>
        <v>High Street</v>
      </c>
      <c r="E181" s="12">
        <f>'2_Cleaned_Data'!M181</f>
        <v>678311.17</v>
      </c>
      <c r="F181" s="12">
        <f>'5_Multiple_Regression'!$B$324+'5_Multiple_Regression'!$B$325*'2_Cleaned_Data'!E181+'5_Multiple_Regression'!$B$326*'2_Cleaned_Data'!F181+'5_Multiple_Regression'!$B$327*'2_Cleaned_Data'!G181+'5_Multiple_Regression'!$B$328*'2_Cleaned_Data'!I181+'5_Multiple_Regression'!$B$329*IF('2_Cleaned_Data'!D181="Airport",1,0)+'5_Multiple_Regression'!$B$330*IF('2_Cleaned_Data'!D181="High Street",1,0)+'5_Multiple_Regression'!$B$331*IF('2_Cleaned_Data'!D181="Mall",1,0)</f>
        <v>656537.0557640153</v>
      </c>
      <c r="G181" s="12">
        <f>E181-F181</f>
        <v>21774.114235984744</v>
      </c>
      <c r="H181" s="13">
        <f>G181/E181*100</f>
        <v>3.2100480132126887</v>
      </c>
    </row>
    <row r="182" spans="1:8" x14ac:dyDescent="0.45">
      <c r="A182" s="5" t="str">
        <f>'2_Cleaned_Data'!A183</f>
        <v>STR-1047</v>
      </c>
      <c r="B182" s="18">
        <f>'2_Cleaned_Data'!B183</f>
        <v>45748</v>
      </c>
      <c r="C182" s="5" t="str">
        <f>'2_Cleaned_Data'!C183</f>
        <v>North</v>
      </c>
      <c r="D182" s="5" t="str">
        <f>'2_Cleaned_Data'!D183</f>
        <v>High Street</v>
      </c>
      <c r="E182" s="12">
        <f>'2_Cleaned_Data'!M183</f>
        <v>712546.38</v>
      </c>
      <c r="F182" s="12">
        <f>'5_Multiple_Regression'!$B$324+'5_Multiple_Regression'!$B$325*'2_Cleaned_Data'!E183+'5_Multiple_Regression'!$B$326*'2_Cleaned_Data'!F183+'5_Multiple_Regression'!$B$327*'2_Cleaned_Data'!G183+'5_Multiple_Regression'!$B$328*'2_Cleaned_Data'!I183+'5_Multiple_Regression'!$B$329*IF('2_Cleaned_Data'!D183="Airport",1,0)+'5_Multiple_Regression'!$B$330*IF('2_Cleaned_Data'!D183="High Street",1,0)+'5_Multiple_Regression'!$B$331*IF('2_Cleaned_Data'!D183="Mall",1,0)</f>
        <v>710163.06790622498</v>
      </c>
      <c r="G182" s="12">
        <f>E182-F182</f>
        <v>2383.3120937750209</v>
      </c>
      <c r="H182" s="13">
        <f>G182/E182*100</f>
        <v>0.33447817021749809</v>
      </c>
    </row>
    <row r="183" spans="1:8" x14ac:dyDescent="0.45">
      <c r="A183" s="5" t="str">
        <f>'2_Cleaned_Data'!A180</f>
        <v>STR-1047</v>
      </c>
      <c r="B183" s="18">
        <f>'2_Cleaned_Data'!B180</f>
        <v>45658</v>
      </c>
      <c r="C183" s="5" t="str">
        <f>'2_Cleaned_Data'!C180</f>
        <v>North</v>
      </c>
      <c r="D183" s="5" t="str">
        <f>'2_Cleaned_Data'!D180</f>
        <v>High Street</v>
      </c>
      <c r="E183" s="12">
        <f>'2_Cleaned_Data'!M180</f>
        <v>681855.56</v>
      </c>
      <c r="F183" s="12">
        <f>'5_Multiple_Regression'!$B$324+'5_Multiple_Regression'!$B$325*'2_Cleaned_Data'!E180+'5_Multiple_Regression'!$B$326*'2_Cleaned_Data'!F180+'5_Multiple_Regression'!$B$327*'2_Cleaned_Data'!G180+'5_Multiple_Regression'!$B$328*'2_Cleaned_Data'!I180+'5_Multiple_Regression'!$B$329*IF('2_Cleaned_Data'!D180="Airport",1,0)+'5_Multiple_Regression'!$B$330*IF('2_Cleaned_Data'!D180="High Street",1,0)+'5_Multiple_Regression'!$B$331*IF('2_Cleaned_Data'!D180="Mall",1,0)</f>
        <v>701358.20411156002</v>
      </c>
      <c r="G183" s="12">
        <f>E183-F183</f>
        <v>-19502.644111559959</v>
      </c>
      <c r="H183" s="13">
        <f>G183/E183*100</f>
        <v>-2.8602310013516581</v>
      </c>
    </row>
    <row r="184" spans="1:8" x14ac:dyDescent="0.45">
      <c r="A184" s="5" t="str">
        <f>'2_Cleaned_Data'!A184</f>
        <v>STR-1048</v>
      </c>
      <c r="B184" s="18">
        <f>'2_Cleaned_Data'!B184</f>
        <v>45658</v>
      </c>
      <c r="C184" s="5" t="str">
        <f>'2_Cleaned_Data'!C184</f>
        <v>East</v>
      </c>
      <c r="D184" s="5" t="str">
        <f>'2_Cleaned_Data'!D184</f>
        <v>High Street</v>
      </c>
      <c r="E184" s="12">
        <f>'2_Cleaned_Data'!M184</f>
        <v>625993.82999999996</v>
      </c>
      <c r="F184" s="12">
        <f>'5_Multiple_Regression'!$B$324+'5_Multiple_Regression'!$B$325*'2_Cleaned_Data'!E184+'5_Multiple_Regression'!$B$326*'2_Cleaned_Data'!F184+'5_Multiple_Regression'!$B$327*'2_Cleaned_Data'!G184+'5_Multiple_Regression'!$B$328*'2_Cleaned_Data'!I184+'5_Multiple_Regression'!$B$329*IF('2_Cleaned_Data'!D184="Airport",1,0)+'5_Multiple_Regression'!$B$330*IF('2_Cleaned_Data'!D184="High Street",1,0)+'5_Multiple_Regression'!$B$331*IF('2_Cleaned_Data'!D184="Mall",1,0)</f>
        <v>597611.57762669981</v>
      </c>
      <c r="G184" s="12">
        <f>E184-F184</f>
        <v>28382.252373300144</v>
      </c>
      <c r="H184" s="13">
        <f>G184/E184*100</f>
        <v>4.5339508175823626</v>
      </c>
    </row>
    <row r="185" spans="1:8" x14ac:dyDescent="0.45">
      <c r="A185" s="5" t="str">
        <f>'2_Cleaned_Data'!A185</f>
        <v>STR-1048</v>
      </c>
      <c r="B185" s="18">
        <f>'2_Cleaned_Data'!B185</f>
        <v>45689</v>
      </c>
      <c r="C185" s="5" t="str">
        <f>'2_Cleaned_Data'!C185</f>
        <v>East</v>
      </c>
      <c r="D185" s="5" t="str">
        <f>'2_Cleaned_Data'!D185</f>
        <v>High Street</v>
      </c>
      <c r="E185" s="12">
        <f>'2_Cleaned_Data'!M185</f>
        <v>550962.93000000005</v>
      </c>
      <c r="F185" s="12">
        <f>'5_Multiple_Regression'!$B$324+'5_Multiple_Regression'!$B$325*'2_Cleaned_Data'!E185+'5_Multiple_Regression'!$B$326*'2_Cleaned_Data'!F185+'5_Multiple_Regression'!$B$327*'2_Cleaned_Data'!G185+'5_Multiple_Regression'!$B$328*'2_Cleaned_Data'!I185+'5_Multiple_Regression'!$B$329*IF('2_Cleaned_Data'!D185="Airport",1,0)+'5_Multiple_Regression'!$B$330*IF('2_Cleaned_Data'!D185="High Street",1,0)+'5_Multiple_Regression'!$B$331*IF('2_Cleaned_Data'!D185="Mall",1,0)</f>
        <v>549809.63887717365</v>
      </c>
      <c r="G185" s="12">
        <f>E185-F185</f>
        <v>1153.2911228263984</v>
      </c>
      <c r="H185" s="13">
        <f>G185/E185*100</f>
        <v>0.20932281647812462</v>
      </c>
    </row>
    <row r="186" spans="1:8" x14ac:dyDescent="0.45">
      <c r="A186" s="5" t="str">
        <f>'2_Cleaned_Data'!A186</f>
        <v>STR-1048</v>
      </c>
      <c r="B186" s="18">
        <f>'2_Cleaned_Data'!B186</f>
        <v>45717</v>
      </c>
      <c r="C186" s="5" t="str">
        <f>'2_Cleaned_Data'!C186</f>
        <v>East</v>
      </c>
      <c r="D186" s="5" t="str">
        <f>'2_Cleaned_Data'!D186</f>
        <v>High Street</v>
      </c>
      <c r="E186" s="12">
        <f>'2_Cleaned_Data'!M186</f>
        <v>443275.59</v>
      </c>
      <c r="F186" s="12">
        <f>'5_Multiple_Regression'!$B$324+'5_Multiple_Regression'!$B$325*'2_Cleaned_Data'!E186+'5_Multiple_Regression'!$B$326*'2_Cleaned_Data'!F186+'5_Multiple_Regression'!$B$327*'2_Cleaned_Data'!G186+'5_Multiple_Regression'!$B$328*'2_Cleaned_Data'!I186+'5_Multiple_Regression'!$B$329*IF('2_Cleaned_Data'!D186="Airport",1,0)+'5_Multiple_Regression'!$B$330*IF('2_Cleaned_Data'!D186="High Street",1,0)+'5_Multiple_Regression'!$B$331*IF('2_Cleaned_Data'!D186="Mall",1,0)</f>
        <v>462630.05013568053</v>
      </c>
      <c r="G186" s="12">
        <f>E186-F186</f>
        <v>-19354.460135680507</v>
      </c>
      <c r="H186" s="13">
        <f>G186/E186*100</f>
        <v>-4.366236393860647</v>
      </c>
    </row>
    <row r="187" spans="1:8" x14ac:dyDescent="0.45">
      <c r="A187" s="5" t="str">
        <f>'2_Cleaned_Data'!A187</f>
        <v>STR-1048</v>
      </c>
      <c r="B187" s="18">
        <f>'2_Cleaned_Data'!B187</f>
        <v>45748</v>
      </c>
      <c r="C187" s="5" t="str">
        <f>'2_Cleaned_Data'!C187</f>
        <v>East</v>
      </c>
      <c r="D187" s="5" t="str">
        <f>'2_Cleaned_Data'!D187</f>
        <v>High Street</v>
      </c>
      <c r="E187" s="12">
        <f>'2_Cleaned_Data'!M187</f>
        <v>554012.06999999995</v>
      </c>
      <c r="F187" s="12">
        <f>'5_Multiple_Regression'!$B$324+'5_Multiple_Regression'!$B$325*'2_Cleaned_Data'!E187+'5_Multiple_Regression'!$B$326*'2_Cleaned_Data'!F187+'5_Multiple_Regression'!$B$327*'2_Cleaned_Data'!G187+'5_Multiple_Regression'!$B$328*'2_Cleaned_Data'!I187+'5_Multiple_Regression'!$B$329*IF('2_Cleaned_Data'!D187="Airport",1,0)+'5_Multiple_Regression'!$B$330*IF('2_Cleaned_Data'!D187="High Street",1,0)+'5_Multiple_Regression'!$B$331*IF('2_Cleaned_Data'!D187="Mall",1,0)</f>
        <v>605600.44539880485</v>
      </c>
      <c r="G187" s="12">
        <f>E187-F187</f>
        <v>-51588.375398804899</v>
      </c>
      <c r="H187" s="13">
        <f>G187/E187*100</f>
        <v>-9.311778243171652</v>
      </c>
    </row>
    <row r="188" spans="1:8" x14ac:dyDescent="0.45">
      <c r="A188" s="5" t="str">
        <f>'2_Cleaned_Data'!A190</f>
        <v>STR-1049</v>
      </c>
      <c r="B188" s="18">
        <f>'2_Cleaned_Data'!B190</f>
        <v>45717</v>
      </c>
      <c r="C188" s="5" t="str">
        <f>'2_Cleaned_Data'!C190</f>
        <v>West</v>
      </c>
      <c r="D188" s="5" t="str">
        <f>'2_Cleaned_Data'!D190</f>
        <v>Residential</v>
      </c>
      <c r="E188" s="12">
        <f>'2_Cleaned_Data'!M190</f>
        <v>559422.02</v>
      </c>
      <c r="F188" s="12">
        <f>'5_Multiple_Regression'!$B$324+'5_Multiple_Regression'!$B$325*'2_Cleaned_Data'!E190+'5_Multiple_Regression'!$B$326*'2_Cleaned_Data'!F190+'5_Multiple_Regression'!$B$327*'2_Cleaned_Data'!G190+'5_Multiple_Regression'!$B$328*'2_Cleaned_Data'!I190+'5_Multiple_Regression'!$B$329*IF('2_Cleaned_Data'!D190="Airport",1,0)+'5_Multiple_Regression'!$B$330*IF('2_Cleaned_Data'!D190="High Street",1,0)+'5_Multiple_Regression'!$B$331*IF('2_Cleaned_Data'!D190="Mall",1,0)</f>
        <v>551859.79000649042</v>
      </c>
      <c r="G188" s="12">
        <f>E188-F188</f>
        <v>7562.2299935095944</v>
      </c>
      <c r="H188" s="13">
        <f>G188/E188*100</f>
        <v>1.3517934087595611</v>
      </c>
    </row>
    <row r="189" spans="1:8" x14ac:dyDescent="0.45">
      <c r="A189" s="5" t="str">
        <f>'2_Cleaned_Data'!A189</f>
        <v>STR-1049</v>
      </c>
      <c r="B189" s="18">
        <f>'2_Cleaned_Data'!B189</f>
        <v>45689</v>
      </c>
      <c r="C189" s="5" t="str">
        <f>'2_Cleaned_Data'!C189</f>
        <v>West</v>
      </c>
      <c r="D189" s="5" t="str">
        <f>'2_Cleaned_Data'!D189</f>
        <v>Residential</v>
      </c>
      <c r="E189" s="12">
        <f>'2_Cleaned_Data'!M189</f>
        <v>611924.27</v>
      </c>
      <c r="F189" s="12">
        <f>'5_Multiple_Regression'!$B$324+'5_Multiple_Regression'!$B$325*'2_Cleaned_Data'!E189+'5_Multiple_Regression'!$B$326*'2_Cleaned_Data'!F189+'5_Multiple_Regression'!$B$327*'2_Cleaned_Data'!G189+'5_Multiple_Regression'!$B$328*'2_Cleaned_Data'!I189+'5_Multiple_Regression'!$B$329*IF('2_Cleaned_Data'!D189="Airport",1,0)+'5_Multiple_Regression'!$B$330*IF('2_Cleaned_Data'!D189="High Street",1,0)+'5_Multiple_Regression'!$B$331*IF('2_Cleaned_Data'!D189="Mall",1,0)</f>
        <v>612574.7797617123</v>
      </c>
      <c r="G189" s="12">
        <f>E189-F189</f>
        <v>-650.50976171228103</v>
      </c>
      <c r="H189" s="13">
        <f>G189/E189*100</f>
        <v>-0.10630559917361687</v>
      </c>
    </row>
    <row r="190" spans="1:8" x14ac:dyDescent="0.45">
      <c r="A190" s="5" t="str">
        <f>'2_Cleaned_Data'!A188</f>
        <v>STR-1049</v>
      </c>
      <c r="B190" s="18">
        <f>'2_Cleaned_Data'!B188</f>
        <v>45658</v>
      </c>
      <c r="C190" s="5" t="str">
        <f>'2_Cleaned_Data'!C188</f>
        <v>West</v>
      </c>
      <c r="D190" s="5" t="str">
        <f>'2_Cleaned_Data'!D188</f>
        <v>Residential</v>
      </c>
      <c r="E190" s="12">
        <f>'2_Cleaned_Data'!M188</f>
        <v>643428.85</v>
      </c>
      <c r="F190" s="12">
        <f>'5_Multiple_Regression'!$B$324+'5_Multiple_Regression'!$B$325*'2_Cleaned_Data'!E188+'5_Multiple_Regression'!$B$326*'2_Cleaned_Data'!F188+'5_Multiple_Regression'!$B$327*'2_Cleaned_Data'!G188+'5_Multiple_Regression'!$B$328*'2_Cleaned_Data'!I188+'5_Multiple_Regression'!$B$329*IF('2_Cleaned_Data'!D188="Airport",1,0)+'5_Multiple_Regression'!$B$330*IF('2_Cleaned_Data'!D188="High Street",1,0)+'5_Multiple_Regression'!$B$331*IF('2_Cleaned_Data'!D188="Mall",1,0)</f>
        <v>680257.40691521764</v>
      </c>
      <c r="G190" s="12">
        <f>E190-F190</f>
        <v>-36828.556915217661</v>
      </c>
      <c r="H190" s="13">
        <f>G190/E190*100</f>
        <v>-5.7237963319825749</v>
      </c>
    </row>
    <row r="191" spans="1:8" x14ac:dyDescent="0.45">
      <c r="A191" s="5" t="str">
        <f>'2_Cleaned_Data'!A194</f>
        <v>STR-1050</v>
      </c>
      <c r="B191" s="18">
        <f>'2_Cleaned_Data'!B194</f>
        <v>45748</v>
      </c>
      <c r="C191" s="5" t="str">
        <f>'2_Cleaned_Data'!C194</f>
        <v>North</v>
      </c>
      <c r="D191" s="5" t="str">
        <f>'2_Cleaned_Data'!D194</f>
        <v>Residential</v>
      </c>
      <c r="E191" s="12">
        <f>'2_Cleaned_Data'!M194</f>
        <v>735786.64</v>
      </c>
      <c r="F191" s="12">
        <f>'5_Multiple_Regression'!$B$324+'5_Multiple_Regression'!$B$325*'2_Cleaned_Data'!E194+'5_Multiple_Regression'!$B$326*'2_Cleaned_Data'!F194+'5_Multiple_Regression'!$B$327*'2_Cleaned_Data'!G194+'5_Multiple_Regression'!$B$328*'2_Cleaned_Data'!I194+'5_Multiple_Regression'!$B$329*IF('2_Cleaned_Data'!D194="Airport",1,0)+'5_Multiple_Regression'!$B$330*IF('2_Cleaned_Data'!D194="High Street",1,0)+'5_Multiple_Regression'!$B$331*IF('2_Cleaned_Data'!D194="Mall",1,0)</f>
        <v>640920.90981013014</v>
      </c>
      <c r="G191" s="12">
        <f>E191-F191</f>
        <v>94865.730189869879</v>
      </c>
      <c r="H191" s="13">
        <f>G191/E191*100</f>
        <v>12.893103113406609</v>
      </c>
    </row>
    <row r="192" spans="1:8" x14ac:dyDescent="0.45">
      <c r="A192" s="5" t="str">
        <f>'2_Cleaned_Data'!A191</f>
        <v>STR-1050</v>
      </c>
      <c r="B192" s="18">
        <f>'2_Cleaned_Data'!B191</f>
        <v>45658</v>
      </c>
      <c r="C192" s="5" t="str">
        <f>'2_Cleaned_Data'!C191</f>
        <v>North</v>
      </c>
      <c r="D192" s="5" t="str">
        <f>'2_Cleaned_Data'!D191</f>
        <v>Residential</v>
      </c>
      <c r="E192" s="12">
        <f>'2_Cleaned_Data'!M191</f>
        <v>691447.43</v>
      </c>
      <c r="F192" s="12">
        <f>'5_Multiple_Regression'!$B$324+'5_Multiple_Regression'!$B$325*'2_Cleaned_Data'!E191+'5_Multiple_Regression'!$B$326*'2_Cleaned_Data'!F191+'5_Multiple_Regression'!$B$327*'2_Cleaned_Data'!G191+'5_Multiple_Regression'!$B$328*'2_Cleaned_Data'!I191+'5_Multiple_Regression'!$B$329*IF('2_Cleaned_Data'!D191="Airport",1,0)+'5_Multiple_Regression'!$B$330*IF('2_Cleaned_Data'!D191="High Street",1,0)+'5_Multiple_Regression'!$B$331*IF('2_Cleaned_Data'!D191="Mall",1,0)</f>
        <v>636478.98544025538</v>
      </c>
      <c r="G192" s="12">
        <f>E192-F192</f>
        <v>54968.444559744676</v>
      </c>
      <c r="H192" s="13">
        <f>G192/E192*100</f>
        <v>7.9497648230097067</v>
      </c>
    </row>
    <row r="193" spans="1:8" x14ac:dyDescent="0.45">
      <c r="A193" s="5" t="str">
        <f>'2_Cleaned_Data'!A193</f>
        <v>STR-1050</v>
      </c>
      <c r="B193" s="18">
        <f>'2_Cleaned_Data'!B193</f>
        <v>45717</v>
      </c>
      <c r="C193" s="5" t="str">
        <f>'2_Cleaned_Data'!C193</f>
        <v>North</v>
      </c>
      <c r="D193" s="5" t="str">
        <f>'2_Cleaned_Data'!D193</f>
        <v>Residential</v>
      </c>
      <c r="E193" s="12">
        <f>'2_Cleaned_Data'!M193</f>
        <v>578949.84</v>
      </c>
      <c r="F193" s="12">
        <f>'5_Multiple_Regression'!$B$324+'5_Multiple_Regression'!$B$325*'2_Cleaned_Data'!E193+'5_Multiple_Regression'!$B$326*'2_Cleaned_Data'!F193+'5_Multiple_Regression'!$B$327*'2_Cleaned_Data'!G193+'5_Multiple_Regression'!$B$328*'2_Cleaned_Data'!I193+'5_Multiple_Regression'!$B$329*IF('2_Cleaned_Data'!D193="Airport",1,0)+'5_Multiple_Regression'!$B$330*IF('2_Cleaned_Data'!D193="High Street",1,0)+'5_Multiple_Regression'!$B$331*IF('2_Cleaned_Data'!D193="Mall",1,0)</f>
        <v>597590.53382674058</v>
      </c>
      <c r="G193" s="12">
        <f>E193-F193</f>
        <v>-18640.693826740608</v>
      </c>
      <c r="H193" s="13">
        <f>G193/E193*100</f>
        <v>-3.2197424610637437</v>
      </c>
    </row>
    <row r="194" spans="1:8" x14ac:dyDescent="0.45">
      <c r="A194" s="5" t="str">
        <f>'2_Cleaned_Data'!A192</f>
        <v>STR-1050</v>
      </c>
      <c r="B194" s="18">
        <f>'2_Cleaned_Data'!B192</f>
        <v>45689</v>
      </c>
      <c r="C194" s="5" t="str">
        <f>'2_Cleaned_Data'!C192</f>
        <v>North</v>
      </c>
      <c r="D194" s="5" t="str">
        <f>'2_Cleaned_Data'!D192</f>
        <v>Residential</v>
      </c>
      <c r="E194" s="12">
        <f>'2_Cleaned_Data'!M192</f>
        <v>574066.61</v>
      </c>
      <c r="F194" s="12">
        <f>'5_Multiple_Regression'!$B$324+'5_Multiple_Regression'!$B$325*'2_Cleaned_Data'!E192+'5_Multiple_Regression'!$B$326*'2_Cleaned_Data'!F192+'5_Multiple_Regression'!$B$327*'2_Cleaned_Data'!G192+'5_Multiple_Regression'!$B$328*'2_Cleaned_Data'!I192+'5_Multiple_Regression'!$B$329*IF('2_Cleaned_Data'!D192="Airport",1,0)+'5_Multiple_Regression'!$B$330*IF('2_Cleaned_Data'!D192="High Street",1,0)+'5_Multiple_Regression'!$B$331*IF('2_Cleaned_Data'!D192="Mall",1,0)</f>
        <v>602075.5084450529</v>
      </c>
      <c r="G194" s="12">
        <f>E194-F194</f>
        <v>-28008.89844505291</v>
      </c>
      <c r="H194" s="13">
        <f>G194/E194*100</f>
        <v>-4.8790328434278578</v>
      </c>
    </row>
    <row r="195" spans="1:8" x14ac:dyDescent="0.45">
      <c r="A195" s="5" t="str">
        <f>'2_Cleaned_Data'!A196</f>
        <v>STR-1051</v>
      </c>
      <c r="B195" s="18">
        <f>'2_Cleaned_Data'!B196</f>
        <v>45689</v>
      </c>
      <c r="C195" s="5" t="str">
        <f>'2_Cleaned_Data'!C196</f>
        <v>East</v>
      </c>
      <c r="D195" s="5" t="str">
        <f>'2_Cleaned_Data'!D196</f>
        <v>Airport</v>
      </c>
      <c r="E195" s="12">
        <f>'2_Cleaned_Data'!M196</f>
        <v>787715.51</v>
      </c>
      <c r="F195" s="12">
        <f>'5_Multiple_Regression'!$B$324+'5_Multiple_Regression'!$B$325*'2_Cleaned_Data'!E196+'5_Multiple_Regression'!$B$326*'2_Cleaned_Data'!F196+'5_Multiple_Regression'!$B$327*'2_Cleaned_Data'!G196+'5_Multiple_Regression'!$B$328*'2_Cleaned_Data'!I196+'5_Multiple_Regression'!$B$329*IF('2_Cleaned_Data'!D196="Airport",1,0)+'5_Multiple_Regression'!$B$330*IF('2_Cleaned_Data'!D196="High Street",1,0)+'5_Multiple_Regression'!$B$331*IF('2_Cleaned_Data'!D196="Mall",1,0)</f>
        <v>708739.81528868841</v>
      </c>
      <c r="G195" s="12">
        <f>E195-F195</f>
        <v>78975.694711311604</v>
      </c>
      <c r="H195" s="13">
        <f>G195/E195*100</f>
        <v>10.025915918719388</v>
      </c>
    </row>
    <row r="196" spans="1:8" x14ac:dyDescent="0.45">
      <c r="A196" s="5" t="str">
        <f>'2_Cleaned_Data'!A195</f>
        <v>STR-1051</v>
      </c>
      <c r="B196" s="18">
        <f>'2_Cleaned_Data'!B195</f>
        <v>45658</v>
      </c>
      <c r="C196" s="5" t="str">
        <f>'2_Cleaned_Data'!C195</f>
        <v>East</v>
      </c>
      <c r="D196" s="5" t="str">
        <f>'2_Cleaned_Data'!D195</f>
        <v>Airport</v>
      </c>
      <c r="E196" s="12">
        <f>'2_Cleaned_Data'!M195</f>
        <v>598904.9</v>
      </c>
      <c r="F196" s="12">
        <f>'5_Multiple_Regression'!$B$324+'5_Multiple_Regression'!$B$325*'2_Cleaned_Data'!E195+'5_Multiple_Regression'!$B$326*'2_Cleaned_Data'!F195+'5_Multiple_Regression'!$B$327*'2_Cleaned_Data'!G195+'5_Multiple_Regression'!$B$328*'2_Cleaned_Data'!I195+'5_Multiple_Regression'!$B$329*IF('2_Cleaned_Data'!D195="Airport",1,0)+'5_Multiple_Regression'!$B$330*IF('2_Cleaned_Data'!D195="High Street",1,0)+'5_Multiple_Regression'!$B$331*IF('2_Cleaned_Data'!D195="Mall",1,0)</f>
        <v>631639.27631106297</v>
      </c>
      <c r="G196" s="12">
        <f>E196-F196</f>
        <v>-32734.376311062952</v>
      </c>
      <c r="H196" s="13">
        <f>G196/E196*100</f>
        <v>-5.465705208132869</v>
      </c>
    </row>
    <row r="197" spans="1:8" x14ac:dyDescent="0.45">
      <c r="A197" s="5" t="str">
        <f>'2_Cleaned_Data'!A198</f>
        <v>STR-1051</v>
      </c>
      <c r="B197" s="18">
        <f>'2_Cleaned_Data'!B198</f>
        <v>45748</v>
      </c>
      <c r="C197" s="5" t="str">
        <f>'2_Cleaned_Data'!C198</f>
        <v>East</v>
      </c>
      <c r="D197" s="5" t="str">
        <f>'2_Cleaned_Data'!D198</f>
        <v>Airport</v>
      </c>
      <c r="E197" s="12">
        <f>'2_Cleaned_Data'!M198</f>
        <v>650795.49</v>
      </c>
      <c r="F197" s="12">
        <f>'5_Multiple_Regression'!$B$324+'5_Multiple_Regression'!$B$325*'2_Cleaned_Data'!E198+'5_Multiple_Regression'!$B$326*'2_Cleaned_Data'!F198+'5_Multiple_Regression'!$B$327*'2_Cleaned_Data'!G198+'5_Multiple_Regression'!$B$328*'2_Cleaned_Data'!I198+'5_Multiple_Regression'!$B$329*IF('2_Cleaned_Data'!D198="Airport",1,0)+'5_Multiple_Regression'!$B$330*IF('2_Cleaned_Data'!D198="High Street",1,0)+'5_Multiple_Regression'!$B$331*IF('2_Cleaned_Data'!D198="Mall",1,0)</f>
        <v>694690.36252136354</v>
      </c>
      <c r="G197" s="12">
        <f>E197-F197</f>
        <v>-43894.872521363548</v>
      </c>
      <c r="H197" s="13">
        <f>G197/E197*100</f>
        <v>-6.7448028137631306</v>
      </c>
    </row>
    <row r="198" spans="1:8" x14ac:dyDescent="0.45">
      <c r="A198" s="5" t="str">
        <f>'2_Cleaned_Data'!A197</f>
        <v>STR-1051</v>
      </c>
      <c r="B198" s="18">
        <f>'2_Cleaned_Data'!B197</f>
        <v>45717</v>
      </c>
      <c r="C198" s="5" t="str">
        <f>'2_Cleaned_Data'!C197</f>
        <v>East</v>
      </c>
      <c r="D198" s="5" t="str">
        <f>'2_Cleaned_Data'!D197</f>
        <v>Airport</v>
      </c>
      <c r="E198" s="12">
        <f>'2_Cleaned_Data'!M197</f>
        <v>607084.92000000004</v>
      </c>
      <c r="F198" s="12">
        <f>'5_Multiple_Regression'!$B$324+'5_Multiple_Regression'!$B$325*'2_Cleaned_Data'!E197+'5_Multiple_Regression'!$B$326*'2_Cleaned_Data'!F197+'5_Multiple_Regression'!$B$327*'2_Cleaned_Data'!G197+'5_Multiple_Regression'!$B$328*'2_Cleaned_Data'!I197+'5_Multiple_Regression'!$B$329*IF('2_Cleaned_Data'!D197="Airport",1,0)+'5_Multiple_Regression'!$B$330*IF('2_Cleaned_Data'!D197="High Street",1,0)+'5_Multiple_Regression'!$B$331*IF('2_Cleaned_Data'!D197="Mall",1,0)</f>
        <v>673500.57453158149</v>
      </c>
      <c r="G198" s="12">
        <f>E198-F198</f>
        <v>-66415.654531581444</v>
      </c>
      <c r="H198" s="13">
        <f>G198/E198*100</f>
        <v>-10.940092949694986</v>
      </c>
    </row>
    <row r="199" spans="1:8" x14ac:dyDescent="0.45">
      <c r="A199" s="5" t="str">
        <f>'2_Cleaned_Data'!A200</f>
        <v>STR-1052</v>
      </c>
      <c r="B199" s="18">
        <f>'2_Cleaned_Data'!B200</f>
        <v>45689</v>
      </c>
      <c r="C199" s="5" t="str">
        <f>'2_Cleaned_Data'!C200</f>
        <v>East</v>
      </c>
      <c r="D199" s="5" t="str">
        <f>'2_Cleaned_Data'!D200</f>
        <v>Mall</v>
      </c>
      <c r="E199" s="12">
        <f>'2_Cleaned_Data'!M200</f>
        <v>795464.47</v>
      </c>
      <c r="F199" s="12">
        <f>'5_Multiple_Regression'!$B$324+'5_Multiple_Regression'!$B$325*'2_Cleaned_Data'!E200+'5_Multiple_Regression'!$B$326*'2_Cleaned_Data'!F200+'5_Multiple_Regression'!$B$327*'2_Cleaned_Data'!G200+'5_Multiple_Regression'!$B$328*'2_Cleaned_Data'!I200+'5_Multiple_Regression'!$B$329*IF('2_Cleaned_Data'!D200="Airport",1,0)+'5_Multiple_Regression'!$B$330*IF('2_Cleaned_Data'!D200="High Street",1,0)+'5_Multiple_Regression'!$B$331*IF('2_Cleaned_Data'!D200="Mall",1,0)</f>
        <v>751598.52677443437</v>
      </c>
      <c r="G199" s="12">
        <f>E199-F199</f>
        <v>43865.943225565599</v>
      </c>
      <c r="H199" s="13">
        <f>G199/E199*100</f>
        <v>5.5145069176459387</v>
      </c>
    </row>
    <row r="200" spans="1:8" x14ac:dyDescent="0.45">
      <c r="A200" s="5" t="str">
        <f>'2_Cleaned_Data'!A199</f>
        <v>STR-1052</v>
      </c>
      <c r="B200" s="18">
        <f>'2_Cleaned_Data'!B199</f>
        <v>45658</v>
      </c>
      <c r="C200" s="5" t="str">
        <f>'2_Cleaned_Data'!C199</f>
        <v>East</v>
      </c>
      <c r="D200" s="5" t="str">
        <f>'2_Cleaned_Data'!D199</f>
        <v>Mall</v>
      </c>
      <c r="E200" s="12">
        <f>'2_Cleaned_Data'!M199</f>
        <v>825060.52</v>
      </c>
      <c r="F200" s="12">
        <f>'5_Multiple_Regression'!$B$324+'5_Multiple_Regression'!$B$325*'2_Cleaned_Data'!E199+'5_Multiple_Regression'!$B$326*'2_Cleaned_Data'!F199+'5_Multiple_Regression'!$B$327*'2_Cleaned_Data'!G199+'5_Multiple_Regression'!$B$328*'2_Cleaned_Data'!I199+'5_Multiple_Regression'!$B$329*IF('2_Cleaned_Data'!D199="Airport",1,0)+'5_Multiple_Regression'!$B$330*IF('2_Cleaned_Data'!D199="High Street",1,0)+'5_Multiple_Regression'!$B$331*IF('2_Cleaned_Data'!D199="Mall",1,0)</f>
        <v>851836.07273887238</v>
      </c>
      <c r="G200" s="12">
        <f>E200-F200</f>
        <v>-26775.552738872357</v>
      </c>
      <c r="H200" s="13">
        <f>G200/E200*100</f>
        <v>-3.2452834779771496</v>
      </c>
    </row>
    <row r="201" spans="1:8" x14ac:dyDescent="0.45">
      <c r="A201" s="5" t="str">
        <f>'2_Cleaned_Data'!A201</f>
        <v>STR-1052</v>
      </c>
      <c r="B201" s="18">
        <f>'2_Cleaned_Data'!B201</f>
        <v>45717</v>
      </c>
      <c r="C201" s="5" t="str">
        <f>'2_Cleaned_Data'!C201</f>
        <v>East</v>
      </c>
      <c r="D201" s="5" t="str">
        <f>'2_Cleaned_Data'!D201</f>
        <v>Mall</v>
      </c>
      <c r="E201" s="12">
        <f>'2_Cleaned_Data'!M201</f>
        <v>671868.59</v>
      </c>
      <c r="F201" s="12">
        <f>'5_Multiple_Regression'!$B$324+'5_Multiple_Regression'!$B$325*'2_Cleaned_Data'!E201+'5_Multiple_Regression'!$B$326*'2_Cleaned_Data'!F201+'5_Multiple_Regression'!$B$327*'2_Cleaned_Data'!G201+'5_Multiple_Regression'!$B$328*'2_Cleaned_Data'!I201+'5_Multiple_Regression'!$B$329*IF('2_Cleaned_Data'!D201="Airport",1,0)+'5_Multiple_Regression'!$B$330*IF('2_Cleaned_Data'!D201="High Street",1,0)+'5_Multiple_Regression'!$B$331*IF('2_Cleaned_Data'!D201="Mall",1,0)</f>
        <v>746928.20317316847</v>
      </c>
      <c r="G201" s="12">
        <f>E201-F201</f>
        <v>-75059.613173168502</v>
      </c>
      <c r="H201" s="13">
        <f>G201/E201*100</f>
        <v>-11.171769939887874</v>
      </c>
    </row>
    <row r="202" spans="1:8" x14ac:dyDescent="0.45">
      <c r="A202" s="5" t="str">
        <f>'2_Cleaned_Data'!A202</f>
        <v>STR-1052</v>
      </c>
      <c r="B202" s="18">
        <f>'2_Cleaned_Data'!B202</f>
        <v>45748</v>
      </c>
      <c r="C202" s="5" t="str">
        <f>'2_Cleaned_Data'!C202</f>
        <v>East</v>
      </c>
      <c r="D202" s="5" t="str">
        <f>'2_Cleaned_Data'!D202</f>
        <v>Mall</v>
      </c>
      <c r="E202" s="12">
        <f>'2_Cleaned_Data'!M202</f>
        <v>675917.63</v>
      </c>
      <c r="F202" s="12">
        <f>'5_Multiple_Regression'!$B$324+'5_Multiple_Regression'!$B$325*'2_Cleaned_Data'!E202+'5_Multiple_Regression'!$B$326*'2_Cleaned_Data'!F202+'5_Multiple_Regression'!$B$327*'2_Cleaned_Data'!G202+'5_Multiple_Regression'!$B$328*'2_Cleaned_Data'!I202+'5_Multiple_Regression'!$B$329*IF('2_Cleaned_Data'!D202="Airport",1,0)+'5_Multiple_Regression'!$B$330*IF('2_Cleaned_Data'!D202="High Street",1,0)+'5_Multiple_Regression'!$B$331*IF('2_Cleaned_Data'!D202="Mall",1,0)</f>
        <v>766541.69878146658</v>
      </c>
      <c r="G202" s="12">
        <f>E202-F202</f>
        <v>-90624.068781466573</v>
      </c>
      <c r="H202" s="13">
        <f>G202/E202*100</f>
        <v>-13.407561033948259</v>
      </c>
    </row>
    <row r="203" spans="1:8" x14ac:dyDescent="0.45">
      <c r="A203" s="5" t="str">
        <f>'2_Cleaned_Data'!A203</f>
        <v>STR-1053</v>
      </c>
      <c r="B203" s="18">
        <f>'2_Cleaned_Data'!B203</f>
        <v>45658</v>
      </c>
      <c r="C203" s="5" t="str">
        <f>'2_Cleaned_Data'!C203</f>
        <v>East</v>
      </c>
      <c r="D203" s="5" t="str">
        <f>'2_Cleaned_Data'!D203</f>
        <v>High Street</v>
      </c>
      <c r="E203" s="12">
        <f>'2_Cleaned_Data'!M203</f>
        <v>810446.53</v>
      </c>
      <c r="F203" s="12">
        <f>'5_Multiple_Regression'!$B$324+'5_Multiple_Regression'!$B$325*'2_Cleaned_Data'!E203+'5_Multiple_Regression'!$B$326*'2_Cleaned_Data'!F203+'5_Multiple_Regression'!$B$327*'2_Cleaned_Data'!G203+'5_Multiple_Regression'!$B$328*'2_Cleaned_Data'!I203+'5_Multiple_Regression'!$B$329*IF('2_Cleaned_Data'!D203="Airport",1,0)+'5_Multiple_Regression'!$B$330*IF('2_Cleaned_Data'!D203="High Street",1,0)+'5_Multiple_Regression'!$B$331*IF('2_Cleaned_Data'!D203="Mall",1,0)</f>
        <v>807040.1710535367</v>
      </c>
      <c r="G203" s="12">
        <f>E203-F203</f>
        <v>3406.358946463326</v>
      </c>
      <c r="H203" s="13">
        <f>G203/E203*100</f>
        <v>0.42030643853374583</v>
      </c>
    </row>
    <row r="204" spans="1:8" x14ac:dyDescent="0.45">
      <c r="A204" s="5" t="str">
        <f>'2_Cleaned_Data'!A206</f>
        <v>STR-1053</v>
      </c>
      <c r="B204" s="18">
        <f>'2_Cleaned_Data'!B206</f>
        <v>45748</v>
      </c>
      <c r="C204" s="5" t="str">
        <f>'2_Cleaned_Data'!C206</f>
        <v>East</v>
      </c>
      <c r="D204" s="5" t="str">
        <f>'2_Cleaned_Data'!D206</f>
        <v>High Street</v>
      </c>
      <c r="E204" s="12">
        <f>'2_Cleaned_Data'!M206</f>
        <v>761963.23</v>
      </c>
      <c r="F204" s="12">
        <f>'5_Multiple_Regression'!$B$324+'5_Multiple_Regression'!$B$325*'2_Cleaned_Data'!E206+'5_Multiple_Regression'!$B$326*'2_Cleaned_Data'!F206+'5_Multiple_Regression'!$B$327*'2_Cleaned_Data'!G206+'5_Multiple_Regression'!$B$328*'2_Cleaned_Data'!I206+'5_Multiple_Regression'!$B$329*IF('2_Cleaned_Data'!D206="Airport",1,0)+'5_Multiple_Regression'!$B$330*IF('2_Cleaned_Data'!D206="High Street",1,0)+'5_Multiple_Regression'!$B$331*IF('2_Cleaned_Data'!D206="Mall",1,0)</f>
        <v>778399.39361542568</v>
      </c>
      <c r="G204" s="12">
        <f>E204-F204</f>
        <v>-16436.163615425699</v>
      </c>
      <c r="H204" s="13">
        <f>G204/E204*100</f>
        <v>-2.1570809414813494</v>
      </c>
    </row>
    <row r="205" spans="1:8" x14ac:dyDescent="0.45">
      <c r="A205" s="5" t="str">
        <f>'2_Cleaned_Data'!A205</f>
        <v>STR-1053</v>
      </c>
      <c r="B205" s="18">
        <f>'2_Cleaned_Data'!B205</f>
        <v>45717</v>
      </c>
      <c r="C205" s="5" t="str">
        <f>'2_Cleaned_Data'!C205</f>
        <v>East</v>
      </c>
      <c r="D205" s="5" t="str">
        <f>'2_Cleaned_Data'!D205</f>
        <v>High Street</v>
      </c>
      <c r="E205" s="12">
        <f>'2_Cleaned_Data'!M205</f>
        <v>946833.54</v>
      </c>
      <c r="F205" s="12">
        <f>'5_Multiple_Regression'!$B$324+'5_Multiple_Regression'!$B$325*'2_Cleaned_Data'!E205+'5_Multiple_Regression'!$B$326*'2_Cleaned_Data'!F205+'5_Multiple_Regression'!$B$327*'2_Cleaned_Data'!G205+'5_Multiple_Regression'!$B$328*'2_Cleaned_Data'!I205+'5_Multiple_Regression'!$B$329*IF('2_Cleaned_Data'!D205="Airport",1,0)+'5_Multiple_Regression'!$B$330*IF('2_Cleaned_Data'!D205="High Street",1,0)+'5_Multiple_Regression'!$B$331*IF('2_Cleaned_Data'!D205="Mall",1,0)</f>
        <v>967900.25995590969</v>
      </c>
      <c r="G205" s="12">
        <f>E205-F205</f>
        <v>-21066.719955909648</v>
      </c>
      <c r="H205" s="13">
        <f>G205/E205*100</f>
        <v>-2.2249655368048802</v>
      </c>
    </row>
    <row r="206" spans="1:8" x14ac:dyDescent="0.45">
      <c r="A206" s="5" t="str">
        <f>'2_Cleaned_Data'!A204</f>
        <v>STR-1053</v>
      </c>
      <c r="B206" s="18">
        <f>'2_Cleaned_Data'!B204</f>
        <v>45689</v>
      </c>
      <c r="C206" s="5" t="str">
        <f>'2_Cleaned_Data'!C204</f>
        <v>East</v>
      </c>
      <c r="D206" s="5" t="str">
        <f>'2_Cleaned_Data'!D204</f>
        <v>High Street</v>
      </c>
      <c r="E206" s="12">
        <f>'2_Cleaned_Data'!M204</f>
        <v>691288.19</v>
      </c>
      <c r="F206" s="12">
        <f>'5_Multiple_Regression'!$B$324+'5_Multiple_Regression'!$B$325*'2_Cleaned_Data'!E204+'5_Multiple_Regression'!$B$326*'2_Cleaned_Data'!F204+'5_Multiple_Regression'!$B$327*'2_Cleaned_Data'!G204+'5_Multiple_Regression'!$B$328*'2_Cleaned_Data'!I204+'5_Multiple_Regression'!$B$329*IF('2_Cleaned_Data'!D204="Airport",1,0)+'5_Multiple_Regression'!$B$330*IF('2_Cleaned_Data'!D204="High Street",1,0)+'5_Multiple_Regression'!$B$331*IF('2_Cleaned_Data'!D204="Mall",1,0)</f>
        <v>774144.34077179513</v>
      </c>
      <c r="G206" s="12">
        <f>E206-F206</f>
        <v>-82856.15077179519</v>
      </c>
      <c r="H206" s="13">
        <f>G206/E206*100</f>
        <v>-11.985761071919253</v>
      </c>
    </row>
    <row r="207" spans="1:8" x14ac:dyDescent="0.45">
      <c r="A207" s="5" t="str">
        <f>'2_Cleaned_Data'!A208</f>
        <v>STR-1054</v>
      </c>
      <c r="B207" s="18">
        <f>'2_Cleaned_Data'!B208</f>
        <v>45689</v>
      </c>
      <c r="C207" s="5" t="str">
        <f>'2_Cleaned_Data'!C208</f>
        <v>West</v>
      </c>
      <c r="D207" s="5" t="str">
        <f>'2_Cleaned_Data'!D208</f>
        <v>Residential</v>
      </c>
      <c r="E207" s="12">
        <f>'2_Cleaned_Data'!M208</f>
        <v>804975.5</v>
      </c>
      <c r="F207" s="12">
        <f>'5_Multiple_Regression'!$B$324+'5_Multiple_Regression'!$B$325*'2_Cleaned_Data'!E208+'5_Multiple_Regression'!$B$326*'2_Cleaned_Data'!F208+'5_Multiple_Regression'!$B$327*'2_Cleaned_Data'!G208+'5_Multiple_Regression'!$B$328*'2_Cleaned_Data'!I208+'5_Multiple_Regression'!$B$329*IF('2_Cleaned_Data'!D208="Airport",1,0)+'5_Multiple_Regression'!$B$330*IF('2_Cleaned_Data'!D208="High Street",1,0)+'5_Multiple_Regression'!$B$331*IF('2_Cleaned_Data'!D208="Mall",1,0)</f>
        <v>752042.65867731522</v>
      </c>
      <c r="G207" s="12">
        <f>E207-F207</f>
        <v>52932.841322684777</v>
      </c>
      <c r="H207" s="13">
        <f>G207/E207*100</f>
        <v>6.5757083690975406</v>
      </c>
    </row>
    <row r="208" spans="1:8" x14ac:dyDescent="0.45">
      <c r="A208" s="5" t="str">
        <f>'2_Cleaned_Data'!A207</f>
        <v>STR-1054</v>
      </c>
      <c r="B208" s="18">
        <f>'2_Cleaned_Data'!B207</f>
        <v>45658</v>
      </c>
      <c r="C208" s="5" t="str">
        <f>'2_Cleaned_Data'!C207</f>
        <v>West</v>
      </c>
      <c r="D208" s="5" t="str">
        <f>'2_Cleaned_Data'!D207</f>
        <v>Residential</v>
      </c>
      <c r="E208" s="12">
        <f>'2_Cleaned_Data'!M207</f>
        <v>812152.6</v>
      </c>
      <c r="F208" s="12">
        <f>'5_Multiple_Regression'!$B$324+'5_Multiple_Regression'!$B$325*'2_Cleaned_Data'!E207+'5_Multiple_Regression'!$B$326*'2_Cleaned_Data'!F207+'5_Multiple_Regression'!$B$327*'2_Cleaned_Data'!G207+'5_Multiple_Regression'!$B$328*'2_Cleaned_Data'!I207+'5_Multiple_Regression'!$B$329*IF('2_Cleaned_Data'!D207="Airport",1,0)+'5_Multiple_Regression'!$B$330*IF('2_Cleaned_Data'!D207="High Street",1,0)+'5_Multiple_Regression'!$B$331*IF('2_Cleaned_Data'!D207="Mall",1,0)</f>
        <v>765186.05837685475</v>
      </c>
      <c r="G208" s="12">
        <f>E208-F208</f>
        <v>46966.541623145225</v>
      </c>
      <c r="H208" s="13">
        <f>G208/E208*100</f>
        <v>5.7829700505970463</v>
      </c>
    </row>
    <row r="209" spans="1:8" x14ac:dyDescent="0.45">
      <c r="A209" s="5" t="str">
        <f>'2_Cleaned_Data'!A210</f>
        <v>STR-1054</v>
      </c>
      <c r="B209" s="18">
        <f>'2_Cleaned_Data'!B210</f>
        <v>45748</v>
      </c>
      <c r="C209" s="5" t="str">
        <f>'2_Cleaned_Data'!C210</f>
        <v>West</v>
      </c>
      <c r="D209" s="5" t="str">
        <f>'2_Cleaned_Data'!D210</f>
        <v>Residential</v>
      </c>
      <c r="E209" s="12">
        <f>'2_Cleaned_Data'!M210</f>
        <v>836908.24</v>
      </c>
      <c r="F209" s="12">
        <f>'5_Multiple_Regression'!$B$324+'5_Multiple_Regression'!$B$325*'2_Cleaned_Data'!E210+'5_Multiple_Regression'!$B$326*'2_Cleaned_Data'!F210+'5_Multiple_Regression'!$B$327*'2_Cleaned_Data'!G210+'5_Multiple_Regression'!$B$328*'2_Cleaned_Data'!I210+'5_Multiple_Regression'!$B$329*IF('2_Cleaned_Data'!D210="Airport",1,0)+'5_Multiple_Regression'!$B$330*IF('2_Cleaned_Data'!D210="High Street",1,0)+'5_Multiple_Regression'!$B$331*IF('2_Cleaned_Data'!D210="Mall",1,0)</f>
        <v>812223.28509989008</v>
      </c>
      <c r="G209" s="12">
        <f>E209-F209</f>
        <v>24684.954900109908</v>
      </c>
      <c r="H209" s="13">
        <f>G209/E209*100</f>
        <v>2.9495413858166706</v>
      </c>
    </row>
    <row r="210" spans="1:8" x14ac:dyDescent="0.45">
      <c r="A210" s="5" t="str">
        <f>'2_Cleaned_Data'!A209</f>
        <v>STR-1054</v>
      </c>
      <c r="B210" s="18">
        <f>'2_Cleaned_Data'!B209</f>
        <v>45717</v>
      </c>
      <c r="C210" s="5" t="str">
        <f>'2_Cleaned_Data'!C209</f>
        <v>West</v>
      </c>
      <c r="D210" s="5" t="str">
        <f>'2_Cleaned_Data'!D209</f>
        <v>Residential</v>
      </c>
      <c r="E210" s="12">
        <f>'2_Cleaned_Data'!M209</f>
        <v>752321.72</v>
      </c>
      <c r="F210" s="12">
        <f>'5_Multiple_Regression'!$B$324+'5_Multiple_Regression'!$B$325*'2_Cleaned_Data'!E209+'5_Multiple_Regression'!$B$326*'2_Cleaned_Data'!F209+'5_Multiple_Regression'!$B$327*'2_Cleaned_Data'!G209+'5_Multiple_Regression'!$B$328*'2_Cleaned_Data'!I209+'5_Multiple_Regression'!$B$329*IF('2_Cleaned_Data'!D209="Airport",1,0)+'5_Multiple_Regression'!$B$330*IF('2_Cleaned_Data'!D209="High Street",1,0)+'5_Multiple_Regression'!$B$331*IF('2_Cleaned_Data'!D209="Mall",1,0)</f>
        <v>751817.83756908076</v>
      </c>
      <c r="G210" s="12">
        <f>E210-F210</f>
        <v>503.88243091921322</v>
      </c>
      <c r="H210" s="13">
        <f>G210/E210*100</f>
        <v>6.6976988371306528E-2</v>
      </c>
    </row>
    <row r="211" spans="1:8" x14ac:dyDescent="0.45">
      <c r="A211" s="5" t="str">
        <f>'2_Cleaned_Data'!A213</f>
        <v>STR-1055</v>
      </c>
      <c r="B211" s="18">
        <f>'2_Cleaned_Data'!B213</f>
        <v>45717</v>
      </c>
      <c r="C211" s="5" t="str">
        <f>'2_Cleaned_Data'!C213</f>
        <v>North</v>
      </c>
      <c r="D211" s="5" t="str">
        <f>'2_Cleaned_Data'!D213</f>
        <v>Airport</v>
      </c>
      <c r="E211" s="12">
        <f>'2_Cleaned_Data'!M213</f>
        <v>673348.56</v>
      </c>
      <c r="F211" s="12">
        <f>'5_Multiple_Regression'!$B$324+'5_Multiple_Regression'!$B$325*'2_Cleaned_Data'!E213+'5_Multiple_Regression'!$B$326*'2_Cleaned_Data'!F213+'5_Multiple_Regression'!$B$327*'2_Cleaned_Data'!G213+'5_Multiple_Regression'!$B$328*'2_Cleaned_Data'!I213+'5_Multiple_Regression'!$B$329*IF('2_Cleaned_Data'!D213="Airport",1,0)+'5_Multiple_Regression'!$B$330*IF('2_Cleaned_Data'!D213="High Street",1,0)+'5_Multiple_Regression'!$B$331*IF('2_Cleaned_Data'!D213="Mall",1,0)</f>
        <v>636681.71014889074</v>
      </c>
      <c r="G211" s="12">
        <f>E211-F211</f>
        <v>36666.84985110932</v>
      </c>
      <c r="H211" s="13">
        <f>G211/E211*100</f>
        <v>5.4454486174455194</v>
      </c>
    </row>
    <row r="212" spans="1:8" x14ac:dyDescent="0.45">
      <c r="A212" s="5" t="str">
        <f>'2_Cleaned_Data'!A211</f>
        <v>STR-1055</v>
      </c>
      <c r="B212" s="18">
        <f>'2_Cleaned_Data'!B211</f>
        <v>45658</v>
      </c>
      <c r="C212" s="5" t="str">
        <f>'2_Cleaned_Data'!C211</f>
        <v>North</v>
      </c>
      <c r="D212" s="5" t="str">
        <f>'2_Cleaned_Data'!D211</f>
        <v>Airport</v>
      </c>
      <c r="E212" s="12">
        <f>'2_Cleaned_Data'!M211</f>
        <v>674289.1</v>
      </c>
      <c r="F212" s="12">
        <f>'5_Multiple_Regression'!$B$324+'5_Multiple_Regression'!$B$325*'2_Cleaned_Data'!E211+'5_Multiple_Regression'!$B$326*'2_Cleaned_Data'!F211+'5_Multiple_Regression'!$B$327*'2_Cleaned_Data'!G211+'5_Multiple_Regression'!$B$328*'2_Cleaned_Data'!I211+'5_Multiple_Regression'!$B$329*IF('2_Cleaned_Data'!D211="Airport",1,0)+'5_Multiple_Regression'!$B$330*IF('2_Cleaned_Data'!D211="High Street",1,0)+'5_Multiple_Regression'!$B$331*IF('2_Cleaned_Data'!D211="Mall",1,0)</f>
        <v>663389.39780615165</v>
      </c>
      <c r="G212" s="12">
        <f>E212-F212</f>
        <v>10899.702193848323</v>
      </c>
      <c r="H212" s="13">
        <f>G212/E212*100</f>
        <v>1.6164731409492346</v>
      </c>
    </row>
    <row r="213" spans="1:8" x14ac:dyDescent="0.45">
      <c r="A213" s="5" t="str">
        <f>'2_Cleaned_Data'!A214</f>
        <v>STR-1055</v>
      </c>
      <c r="B213" s="18">
        <f>'2_Cleaned_Data'!B214</f>
        <v>45748</v>
      </c>
      <c r="C213" s="5" t="str">
        <f>'2_Cleaned_Data'!C214</f>
        <v>North</v>
      </c>
      <c r="D213" s="5" t="str">
        <f>'2_Cleaned_Data'!D214</f>
        <v>Airport</v>
      </c>
      <c r="E213" s="12">
        <f>'2_Cleaned_Data'!M214</f>
        <v>606278.30000000005</v>
      </c>
      <c r="F213" s="12">
        <f>'5_Multiple_Regression'!$B$324+'5_Multiple_Regression'!$B$325*'2_Cleaned_Data'!E214+'5_Multiple_Regression'!$B$326*'2_Cleaned_Data'!F214+'5_Multiple_Regression'!$B$327*'2_Cleaned_Data'!G214+'5_Multiple_Regression'!$B$328*'2_Cleaned_Data'!I214+'5_Multiple_Regression'!$B$329*IF('2_Cleaned_Data'!D214="Airport",1,0)+'5_Multiple_Regression'!$B$330*IF('2_Cleaned_Data'!D214="High Street",1,0)+'5_Multiple_Regression'!$B$331*IF('2_Cleaned_Data'!D214="Mall",1,0)</f>
        <v>614428.73982688866</v>
      </c>
      <c r="G213" s="12">
        <f>E213-F213</f>
        <v>-8150.4398268886143</v>
      </c>
      <c r="H213" s="13">
        <f>G213/E213*100</f>
        <v>-1.34433969134119</v>
      </c>
    </row>
    <row r="214" spans="1:8" x14ac:dyDescent="0.45">
      <c r="A214" s="5" t="str">
        <f>'2_Cleaned_Data'!A212</f>
        <v>STR-1055</v>
      </c>
      <c r="B214" s="18">
        <f>'2_Cleaned_Data'!B212</f>
        <v>45689</v>
      </c>
      <c r="C214" s="5" t="str">
        <f>'2_Cleaned_Data'!C212</f>
        <v>North</v>
      </c>
      <c r="D214" s="5" t="str">
        <f>'2_Cleaned_Data'!D212</f>
        <v>Airport</v>
      </c>
      <c r="E214" s="12">
        <f>'2_Cleaned_Data'!M212</f>
        <v>622892.42000000004</v>
      </c>
      <c r="F214" s="12">
        <f>'5_Multiple_Regression'!$B$324+'5_Multiple_Regression'!$B$325*'2_Cleaned_Data'!E212+'5_Multiple_Regression'!$B$326*'2_Cleaned_Data'!F212+'5_Multiple_Regression'!$B$327*'2_Cleaned_Data'!G212+'5_Multiple_Regression'!$B$328*'2_Cleaned_Data'!I212+'5_Multiple_Regression'!$B$329*IF('2_Cleaned_Data'!D212="Airport",1,0)+'5_Multiple_Regression'!$B$330*IF('2_Cleaned_Data'!D212="High Street",1,0)+'5_Multiple_Regression'!$B$331*IF('2_Cleaned_Data'!D212="Mall",1,0)</f>
        <v>635519.82953625277</v>
      </c>
      <c r="G214" s="12">
        <f>E214-F214</f>
        <v>-12627.40953625273</v>
      </c>
      <c r="H214" s="13">
        <f>G214/E214*100</f>
        <v>-2.0272215764405561</v>
      </c>
    </row>
    <row r="215" spans="1:8" x14ac:dyDescent="0.45">
      <c r="A215" s="5" t="str">
        <f>'2_Cleaned_Data'!A215</f>
        <v>STR-1056</v>
      </c>
      <c r="B215" s="18">
        <f>'2_Cleaned_Data'!B215</f>
        <v>45658</v>
      </c>
      <c r="C215" s="5" t="str">
        <f>'2_Cleaned_Data'!C215</f>
        <v>East</v>
      </c>
      <c r="D215" s="5" t="str">
        <f>'2_Cleaned_Data'!D215</f>
        <v>High Street</v>
      </c>
      <c r="E215" s="12">
        <f>'2_Cleaned_Data'!M215</f>
        <v>712219.81</v>
      </c>
      <c r="F215" s="12">
        <f>'5_Multiple_Regression'!$B$324+'5_Multiple_Regression'!$B$325*'2_Cleaned_Data'!E215+'5_Multiple_Regression'!$B$326*'2_Cleaned_Data'!F215+'5_Multiple_Regression'!$B$327*'2_Cleaned_Data'!G215+'5_Multiple_Regression'!$B$328*'2_Cleaned_Data'!I215+'5_Multiple_Regression'!$B$329*IF('2_Cleaned_Data'!D215="Airport",1,0)+'5_Multiple_Regression'!$B$330*IF('2_Cleaned_Data'!D215="High Street",1,0)+'5_Multiple_Regression'!$B$331*IF('2_Cleaned_Data'!D215="Mall",1,0)</f>
        <v>707630.38291247399</v>
      </c>
      <c r="G215" s="12">
        <f>E215-F215</f>
        <v>4589.42708752607</v>
      </c>
      <c r="H215" s="13">
        <f>G215/E215*100</f>
        <v>0.64438352080182515</v>
      </c>
    </row>
    <row r="216" spans="1:8" x14ac:dyDescent="0.45">
      <c r="A216" s="5" t="str">
        <f>'2_Cleaned_Data'!A216</f>
        <v>STR-1056</v>
      </c>
      <c r="B216" s="18">
        <f>'2_Cleaned_Data'!B216</f>
        <v>45689</v>
      </c>
      <c r="C216" s="5" t="str">
        <f>'2_Cleaned_Data'!C216</f>
        <v>East</v>
      </c>
      <c r="D216" s="5" t="str">
        <f>'2_Cleaned_Data'!D216</f>
        <v>High Street</v>
      </c>
      <c r="E216" s="12">
        <f>'2_Cleaned_Data'!M216</f>
        <v>672670.54</v>
      </c>
      <c r="F216" s="12">
        <f>'5_Multiple_Regression'!$B$324+'5_Multiple_Regression'!$B$325*'2_Cleaned_Data'!E216+'5_Multiple_Regression'!$B$326*'2_Cleaned_Data'!F216+'5_Multiple_Regression'!$B$327*'2_Cleaned_Data'!G216+'5_Multiple_Regression'!$B$328*'2_Cleaned_Data'!I216+'5_Multiple_Regression'!$B$329*IF('2_Cleaned_Data'!D216="Airport",1,0)+'5_Multiple_Regression'!$B$330*IF('2_Cleaned_Data'!D216="High Street",1,0)+'5_Multiple_Regression'!$B$331*IF('2_Cleaned_Data'!D216="Mall",1,0)</f>
        <v>683003.21265389584</v>
      </c>
      <c r="G216" s="12">
        <f>E216-F216</f>
        <v>-10332.672653895803</v>
      </c>
      <c r="H216" s="13">
        <f>G216/E216*100</f>
        <v>-1.5360673672279155</v>
      </c>
    </row>
    <row r="217" spans="1:8" x14ac:dyDescent="0.45">
      <c r="A217" s="5" t="str">
        <f>'2_Cleaned_Data'!A217</f>
        <v>STR-1056</v>
      </c>
      <c r="B217" s="18">
        <f>'2_Cleaned_Data'!B217</f>
        <v>45717</v>
      </c>
      <c r="C217" s="5" t="str">
        <f>'2_Cleaned_Data'!C217</f>
        <v>East</v>
      </c>
      <c r="D217" s="5" t="str">
        <f>'2_Cleaned_Data'!D217</f>
        <v>High Street</v>
      </c>
      <c r="E217" s="12">
        <f>'2_Cleaned_Data'!M217</f>
        <v>732667.92</v>
      </c>
      <c r="F217" s="12">
        <f>'5_Multiple_Regression'!$B$324+'5_Multiple_Regression'!$B$325*'2_Cleaned_Data'!E217+'5_Multiple_Regression'!$B$326*'2_Cleaned_Data'!F217+'5_Multiple_Regression'!$B$327*'2_Cleaned_Data'!G217+'5_Multiple_Regression'!$B$328*'2_Cleaned_Data'!I217+'5_Multiple_Regression'!$B$329*IF('2_Cleaned_Data'!D217="Airport",1,0)+'5_Multiple_Regression'!$B$330*IF('2_Cleaned_Data'!D217="High Street",1,0)+'5_Multiple_Regression'!$B$331*IF('2_Cleaned_Data'!D217="Mall",1,0)</f>
        <v>744254.55647465296</v>
      </c>
      <c r="G217" s="12">
        <f>E217-F217</f>
        <v>-11586.636474652914</v>
      </c>
      <c r="H217" s="13">
        <f>G217/E217*100</f>
        <v>-1.5814308445022289</v>
      </c>
    </row>
    <row r="218" spans="1:8" x14ac:dyDescent="0.45">
      <c r="A218" s="5" t="str">
        <f>'2_Cleaned_Data'!A218</f>
        <v>STR-1056</v>
      </c>
      <c r="B218" s="18">
        <f>'2_Cleaned_Data'!B218</f>
        <v>45748</v>
      </c>
      <c r="C218" s="5" t="str">
        <f>'2_Cleaned_Data'!C218</f>
        <v>East</v>
      </c>
      <c r="D218" s="5" t="str">
        <f>'2_Cleaned_Data'!D218</f>
        <v>High Street</v>
      </c>
      <c r="E218" s="12">
        <f>'2_Cleaned_Data'!M218</f>
        <v>723531.4</v>
      </c>
      <c r="F218" s="12">
        <f>'5_Multiple_Regression'!$B$324+'5_Multiple_Regression'!$B$325*'2_Cleaned_Data'!E218+'5_Multiple_Regression'!$B$326*'2_Cleaned_Data'!F218+'5_Multiple_Regression'!$B$327*'2_Cleaned_Data'!G218+'5_Multiple_Regression'!$B$328*'2_Cleaned_Data'!I218+'5_Multiple_Regression'!$B$329*IF('2_Cleaned_Data'!D218="Airport",1,0)+'5_Multiple_Regression'!$B$330*IF('2_Cleaned_Data'!D218="High Street",1,0)+'5_Multiple_Regression'!$B$331*IF('2_Cleaned_Data'!D218="Mall",1,0)</f>
        <v>769292.91732602776</v>
      </c>
      <c r="G218" s="12">
        <f>E218-F218</f>
        <v>-45761.517326027737</v>
      </c>
      <c r="H218" s="13">
        <f>G218/E218*100</f>
        <v>-6.3247451770618026</v>
      </c>
    </row>
    <row r="219" spans="1:8" x14ac:dyDescent="0.45">
      <c r="A219" s="5" t="str">
        <f>'2_Cleaned_Data'!A219</f>
        <v>STR-1057</v>
      </c>
      <c r="B219" s="18">
        <f>'2_Cleaned_Data'!B219</f>
        <v>45658</v>
      </c>
      <c r="C219" s="5" t="str">
        <f>'2_Cleaned_Data'!C219</f>
        <v>East</v>
      </c>
      <c r="D219" s="5" t="str">
        <f>'2_Cleaned_Data'!D219</f>
        <v>Mall</v>
      </c>
      <c r="E219" s="12">
        <f>'2_Cleaned_Data'!M219</f>
        <v>641564.6</v>
      </c>
      <c r="F219" s="12">
        <f>'5_Multiple_Regression'!$B$324+'5_Multiple_Regression'!$B$325*'2_Cleaned_Data'!E219+'5_Multiple_Regression'!$B$326*'2_Cleaned_Data'!F219+'5_Multiple_Regression'!$B$327*'2_Cleaned_Data'!G219+'5_Multiple_Regression'!$B$328*'2_Cleaned_Data'!I219+'5_Multiple_Regression'!$B$329*IF('2_Cleaned_Data'!D219="Airport",1,0)+'5_Multiple_Regression'!$B$330*IF('2_Cleaned_Data'!D219="High Street",1,0)+'5_Multiple_Regression'!$B$331*IF('2_Cleaned_Data'!D219="Mall",1,0)</f>
        <v>624145.72546355869</v>
      </c>
      <c r="G219" s="12">
        <f>E219-F219</f>
        <v>17418.87453644129</v>
      </c>
      <c r="H219" s="13">
        <f>G219/E219*100</f>
        <v>2.7150616689950304</v>
      </c>
    </row>
    <row r="220" spans="1:8" x14ac:dyDescent="0.45">
      <c r="A220" s="5" t="str">
        <f>'2_Cleaned_Data'!A220</f>
        <v>STR-1057</v>
      </c>
      <c r="B220" s="18">
        <f>'2_Cleaned_Data'!B220</f>
        <v>45689</v>
      </c>
      <c r="C220" s="5" t="str">
        <f>'2_Cleaned_Data'!C220</f>
        <v>East</v>
      </c>
      <c r="D220" s="5" t="str">
        <f>'2_Cleaned_Data'!D220</f>
        <v>Mall</v>
      </c>
      <c r="E220" s="12">
        <f>'2_Cleaned_Data'!M220</f>
        <v>536545.49</v>
      </c>
      <c r="F220" s="12">
        <f>'5_Multiple_Regression'!$B$324+'5_Multiple_Regression'!$B$325*'2_Cleaned_Data'!E220+'5_Multiple_Regression'!$B$326*'2_Cleaned_Data'!F220+'5_Multiple_Regression'!$B$327*'2_Cleaned_Data'!G220+'5_Multiple_Regression'!$B$328*'2_Cleaned_Data'!I220+'5_Multiple_Regression'!$B$329*IF('2_Cleaned_Data'!D220="Airport",1,0)+'5_Multiple_Regression'!$B$330*IF('2_Cleaned_Data'!D220="High Street",1,0)+'5_Multiple_Regression'!$B$331*IF('2_Cleaned_Data'!D220="Mall",1,0)</f>
        <v>544357.66815353383</v>
      </c>
      <c r="G220" s="12">
        <f>E220-F220</f>
        <v>-7812.1781535338378</v>
      </c>
      <c r="H220" s="13">
        <f>G220/E220*100</f>
        <v>-1.4560141309796188</v>
      </c>
    </row>
    <row r="221" spans="1:8" x14ac:dyDescent="0.45">
      <c r="A221" s="5" t="str">
        <f>'2_Cleaned_Data'!A221</f>
        <v>STR-1057</v>
      </c>
      <c r="B221" s="18">
        <f>'2_Cleaned_Data'!B221</f>
        <v>45717</v>
      </c>
      <c r="C221" s="5" t="str">
        <f>'2_Cleaned_Data'!C221</f>
        <v>East</v>
      </c>
      <c r="D221" s="5" t="str">
        <f>'2_Cleaned_Data'!D221</f>
        <v>Mall</v>
      </c>
      <c r="E221" s="12">
        <f>'2_Cleaned_Data'!M221</f>
        <v>527681.56000000006</v>
      </c>
      <c r="F221" s="12">
        <f>'5_Multiple_Regression'!$B$324+'5_Multiple_Regression'!$B$325*'2_Cleaned_Data'!E221+'5_Multiple_Regression'!$B$326*'2_Cleaned_Data'!F221+'5_Multiple_Regression'!$B$327*'2_Cleaned_Data'!G221+'5_Multiple_Regression'!$B$328*'2_Cleaned_Data'!I221+'5_Multiple_Regression'!$B$329*IF('2_Cleaned_Data'!D221="Airport",1,0)+'5_Multiple_Regression'!$B$330*IF('2_Cleaned_Data'!D221="High Street",1,0)+'5_Multiple_Regression'!$B$331*IF('2_Cleaned_Data'!D221="Mall",1,0)</f>
        <v>569661.59438291995</v>
      </c>
      <c r="G221" s="12">
        <f>E221-F221</f>
        <v>-41980.034382919897</v>
      </c>
      <c r="H221" s="13">
        <f>G221/E221*100</f>
        <v>-7.9555621354136186</v>
      </c>
    </row>
    <row r="222" spans="1:8" x14ac:dyDescent="0.45">
      <c r="A222" s="5" t="str">
        <f>'2_Cleaned_Data'!A223</f>
        <v>STR-1058</v>
      </c>
      <c r="B222" s="18">
        <f>'2_Cleaned_Data'!B223</f>
        <v>45689</v>
      </c>
      <c r="C222" s="5" t="str">
        <f>'2_Cleaned_Data'!C223</f>
        <v>East</v>
      </c>
      <c r="D222" s="5" t="str">
        <f>'2_Cleaned_Data'!D223</f>
        <v>High Street</v>
      </c>
      <c r="E222" s="12">
        <f>'2_Cleaned_Data'!M223</f>
        <v>870937.4</v>
      </c>
      <c r="F222" s="12">
        <f>'5_Multiple_Regression'!$B$324+'5_Multiple_Regression'!$B$325*'2_Cleaned_Data'!E223+'5_Multiple_Regression'!$B$326*'2_Cleaned_Data'!F223+'5_Multiple_Regression'!$B$327*'2_Cleaned_Data'!G223+'5_Multiple_Regression'!$B$328*'2_Cleaned_Data'!I223+'5_Multiple_Regression'!$B$329*IF('2_Cleaned_Data'!D223="Airport",1,0)+'5_Multiple_Regression'!$B$330*IF('2_Cleaned_Data'!D223="High Street",1,0)+'5_Multiple_Regression'!$B$331*IF('2_Cleaned_Data'!D223="Mall",1,0)</f>
        <v>818441.48537247849</v>
      </c>
      <c r="G222" s="12">
        <f>E222-F222</f>
        <v>52495.914627521532</v>
      </c>
      <c r="H222" s="13">
        <f>G222/E222*100</f>
        <v>6.0275186973853154</v>
      </c>
    </row>
    <row r="223" spans="1:8" x14ac:dyDescent="0.45">
      <c r="A223" s="5" t="str">
        <f>'2_Cleaned_Data'!A224</f>
        <v>STR-1058</v>
      </c>
      <c r="B223" s="18">
        <f>'2_Cleaned_Data'!B224</f>
        <v>45717</v>
      </c>
      <c r="C223" s="5" t="str">
        <f>'2_Cleaned_Data'!C224</f>
        <v>East</v>
      </c>
      <c r="D223" s="5" t="str">
        <f>'2_Cleaned_Data'!D224</f>
        <v>High Street</v>
      </c>
      <c r="E223" s="12">
        <f>'2_Cleaned_Data'!M224</f>
        <v>596969.27</v>
      </c>
      <c r="F223" s="12">
        <f>'5_Multiple_Regression'!$B$324+'5_Multiple_Regression'!$B$325*'2_Cleaned_Data'!E224+'5_Multiple_Regression'!$B$326*'2_Cleaned_Data'!F224+'5_Multiple_Regression'!$B$327*'2_Cleaned_Data'!G224+'5_Multiple_Regression'!$B$328*'2_Cleaned_Data'!I224+'5_Multiple_Regression'!$B$329*IF('2_Cleaned_Data'!D224="Airport",1,0)+'5_Multiple_Regression'!$B$330*IF('2_Cleaned_Data'!D224="High Street",1,0)+'5_Multiple_Regression'!$B$331*IF('2_Cleaned_Data'!D224="Mall",1,0)</f>
        <v>640364.37422468164</v>
      </c>
      <c r="G223" s="12">
        <f>E223-F223</f>
        <v>-43395.104224681621</v>
      </c>
      <c r="H223" s="13">
        <f>G223/E223*100</f>
        <v>-7.2692358560904848</v>
      </c>
    </row>
    <row r="224" spans="1:8" x14ac:dyDescent="0.45">
      <c r="A224" s="5" t="str">
        <f>'2_Cleaned_Data'!A222</f>
        <v>STR-1058</v>
      </c>
      <c r="B224" s="18">
        <f>'2_Cleaned_Data'!B222</f>
        <v>45658</v>
      </c>
      <c r="C224" s="5" t="str">
        <f>'2_Cleaned_Data'!C222</f>
        <v>East</v>
      </c>
      <c r="D224" s="5" t="str">
        <f>'2_Cleaned_Data'!D222</f>
        <v>High Street</v>
      </c>
      <c r="E224" s="12">
        <f>'2_Cleaned_Data'!M222</f>
        <v>570963.31000000006</v>
      </c>
      <c r="F224" s="12">
        <f>'5_Multiple_Regression'!$B$324+'5_Multiple_Regression'!$B$325*'2_Cleaned_Data'!E222+'5_Multiple_Regression'!$B$326*'2_Cleaned_Data'!F222+'5_Multiple_Regression'!$B$327*'2_Cleaned_Data'!G222+'5_Multiple_Regression'!$B$328*'2_Cleaned_Data'!I222+'5_Multiple_Regression'!$B$329*IF('2_Cleaned_Data'!D222="Airport",1,0)+'5_Multiple_Regression'!$B$330*IF('2_Cleaned_Data'!D222="High Street",1,0)+'5_Multiple_Regression'!$B$331*IF('2_Cleaned_Data'!D222="Mall",1,0)</f>
        <v>634906.69992495188</v>
      </c>
      <c r="G224" s="12">
        <f>E224-F224</f>
        <v>-63943.389924951829</v>
      </c>
      <c r="H224" s="13">
        <f>G224/E224*100</f>
        <v>-11.199211719042301</v>
      </c>
    </row>
    <row r="225" spans="1:8" x14ac:dyDescent="0.45">
      <c r="A225" s="5" t="str">
        <f>'2_Cleaned_Data'!A226</f>
        <v>STR-1059</v>
      </c>
      <c r="B225" s="18">
        <f>'2_Cleaned_Data'!B226</f>
        <v>45689</v>
      </c>
      <c r="C225" s="5" t="str">
        <f>'2_Cleaned_Data'!C226</f>
        <v>West</v>
      </c>
      <c r="D225" s="5" t="str">
        <f>'2_Cleaned_Data'!D226</f>
        <v>Residential</v>
      </c>
      <c r="E225" s="12">
        <f>'2_Cleaned_Data'!M226</f>
        <v>723305.11</v>
      </c>
      <c r="F225" s="12">
        <f>'5_Multiple_Regression'!$B$324+'5_Multiple_Regression'!$B$325*'2_Cleaned_Data'!E226+'5_Multiple_Regression'!$B$326*'2_Cleaned_Data'!F226+'5_Multiple_Regression'!$B$327*'2_Cleaned_Data'!G226+'5_Multiple_Regression'!$B$328*'2_Cleaned_Data'!I226+'5_Multiple_Regression'!$B$329*IF('2_Cleaned_Data'!D226="Airport",1,0)+'5_Multiple_Regression'!$B$330*IF('2_Cleaned_Data'!D226="High Street",1,0)+'5_Multiple_Regression'!$B$331*IF('2_Cleaned_Data'!D226="Mall",1,0)</f>
        <v>633798.33373015164</v>
      </c>
      <c r="G225" s="12">
        <f>E225-F225</f>
        <v>89506.776269848342</v>
      </c>
      <c r="H225" s="13">
        <f>G225/E225*100</f>
        <v>12.374691541975743</v>
      </c>
    </row>
    <row r="226" spans="1:8" x14ac:dyDescent="0.45">
      <c r="A226" s="5" t="str">
        <f>'2_Cleaned_Data'!A225</f>
        <v>STR-1059</v>
      </c>
      <c r="B226" s="18">
        <f>'2_Cleaned_Data'!B225</f>
        <v>45658</v>
      </c>
      <c r="C226" s="5" t="str">
        <f>'2_Cleaned_Data'!C225</f>
        <v>West</v>
      </c>
      <c r="D226" s="5" t="str">
        <f>'2_Cleaned_Data'!D225</f>
        <v>Residential</v>
      </c>
      <c r="E226" s="12">
        <f>'2_Cleaned_Data'!M225</f>
        <v>658072.14</v>
      </c>
      <c r="F226" s="12">
        <f>'5_Multiple_Regression'!$B$324+'5_Multiple_Regression'!$B$325*'2_Cleaned_Data'!E225+'5_Multiple_Regression'!$B$326*'2_Cleaned_Data'!F225+'5_Multiple_Regression'!$B$327*'2_Cleaned_Data'!G225+'5_Multiple_Regression'!$B$328*'2_Cleaned_Data'!I225+'5_Multiple_Regression'!$B$329*IF('2_Cleaned_Data'!D225="Airport",1,0)+'5_Multiple_Regression'!$B$330*IF('2_Cleaned_Data'!D225="High Street",1,0)+'5_Multiple_Regression'!$B$331*IF('2_Cleaned_Data'!D225="Mall",1,0)</f>
        <v>601822.15381677006</v>
      </c>
      <c r="G226" s="12">
        <f>E226-F226</f>
        <v>56249.98618322995</v>
      </c>
      <c r="H226" s="13">
        <f>G226/E226*100</f>
        <v>8.5476929905025223</v>
      </c>
    </row>
    <row r="227" spans="1:8" x14ac:dyDescent="0.45">
      <c r="A227" s="5" t="str">
        <f>'2_Cleaned_Data'!A227</f>
        <v>STR-1059</v>
      </c>
      <c r="B227" s="18">
        <f>'2_Cleaned_Data'!B227</f>
        <v>45717</v>
      </c>
      <c r="C227" s="5" t="str">
        <f>'2_Cleaned_Data'!C227</f>
        <v>West</v>
      </c>
      <c r="D227" s="5" t="str">
        <f>'2_Cleaned_Data'!D227</f>
        <v>Residential</v>
      </c>
      <c r="E227" s="12">
        <f>'2_Cleaned_Data'!M227</f>
        <v>640666.53</v>
      </c>
      <c r="F227" s="12">
        <f>'5_Multiple_Regression'!$B$324+'5_Multiple_Regression'!$B$325*'2_Cleaned_Data'!E227+'5_Multiple_Regression'!$B$326*'2_Cleaned_Data'!F227+'5_Multiple_Regression'!$B$327*'2_Cleaned_Data'!G227+'5_Multiple_Regression'!$B$328*'2_Cleaned_Data'!I227+'5_Multiple_Regression'!$B$329*IF('2_Cleaned_Data'!D227="Airport",1,0)+'5_Multiple_Regression'!$B$330*IF('2_Cleaned_Data'!D227="High Street",1,0)+'5_Multiple_Regression'!$B$331*IF('2_Cleaned_Data'!D227="Mall",1,0)</f>
        <v>621769.60732919862</v>
      </c>
      <c r="G227" s="12">
        <f>E227-F227</f>
        <v>18896.922670801403</v>
      </c>
      <c r="H227" s="13">
        <f>G227/E227*100</f>
        <v>2.9495723259963964</v>
      </c>
    </row>
    <row r="228" spans="1:8" x14ac:dyDescent="0.45">
      <c r="A228" s="5" t="str">
        <f>'2_Cleaned_Data'!A228</f>
        <v>STR-1059</v>
      </c>
      <c r="B228" s="18">
        <f>'2_Cleaned_Data'!B228</f>
        <v>45748</v>
      </c>
      <c r="C228" s="5" t="str">
        <f>'2_Cleaned_Data'!C228</f>
        <v>West</v>
      </c>
      <c r="D228" s="5" t="str">
        <f>'2_Cleaned_Data'!D228</f>
        <v>Residential</v>
      </c>
      <c r="E228" s="12">
        <f>'2_Cleaned_Data'!M228</f>
        <v>670629.48</v>
      </c>
      <c r="F228" s="12">
        <f>'5_Multiple_Regression'!$B$324+'5_Multiple_Regression'!$B$325*'2_Cleaned_Data'!E228+'5_Multiple_Regression'!$B$326*'2_Cleaned_Data'!F228+'5_Multiple_Regression'!$B$327*'2_Cleaned_Data'!G228+'5_Multiple_Regression'!$B$328*'2_Cleaned_Data'!I228+'5_Multiple_Regression'!$B$329*IF('2_Cleaned_Data'!D228="Airport",1,0)+'5_Multiple_Regression'!$B$330*IF('2_Cleaned_Data'!D228="High Street",1,0)+'5_Multiple_Regression'!$B$331*IF('2_Cleaned_Data'!D228="Mall",1,0)</f>
        <v>655223.58204979554</v>
      </c>
      <c r="G228" s="12">
        <f>E228-F228</f>
        <v>15405.897950204439</v>
      </c>
      <c r="H228" s="13">
        <f>G228/E228*100</f>
        <v>2.2972294552581314</v>
      </c>
    </row>
    <row r="229" spans="1:8" x14ac:dyDescent="0.45">
      <c r="A229" s="5" t="str">
        <f>'2_Cleaned_Data'!A232</f>
        <v>STR-1060</v>
      </c>
      <c r="B229" s="18">
        <f>'2_Cleaned_Data'!B232</f>
        <v>45748</v>
      </c>
      <c r="C229" s="5" t="str">
        <f>'2_Cleaned_Data'!C232</f>
        <v>West</v>
      </c>
      <c r="D229" s="5" t="str">
        <f>'2_Cleaned_Data'!D232</f>
        <v>Mall</v>
      </c>
      <c r="E229" s="12">
        <f>'2_Cleaned_Data'!M232</f>
        <v>737070.18</v>
      </c>
      <c r="F229" s="12">
        <f>'5_Multiple_Regression'!$B$324+'5_Multiple_Regression'!$B$325*'2_Cleaned_Data'!E232+'5_Multiple_Regression'!$B$326*'2_Cleaned_Data'!F232+'5_Multiple_Regression'!$B$327*'2_Cleaned_Data'!G232+'5_Multiple_Regression'!$B$328*'2_Cleaned_Data'!I232+'5_Multiple_Regression'!$B$329*IF('2_Cleaned_Data'!D232="Airport",1,0)+'5_Multiple_Regression'!$B$330*IF('2_Cleaned_Data'!D232="High Street",1,0)+'5_Multiple_Regression'!$B$331*IF('2_Cleaned_Data'!D232="Mall",1,0)</f>
        <v>733771.86400957452</v>
      </c>
      <c r="G229" s="12">
        <f>E229-F229</f>
        <v>3298.3159904255299</v>
      </c>
      <c r="H229" s="13">
        <f>G229/E229*100</f>
        <v>0.44749008709394938</v>
      </c>
    </row>
    <row r="230" spans="1:8" x14ac:dyDescent="0.45">
      <c r="A230" s="5" t="str">
        <f>'2_Cleaned_Data'!A231</f>
        <v>STR-1060</v>
      </c>
      <c r="B230" s="18">
        <f>'2_Cleaned_Data'!B231</f>
        <v>45717</v>
      </c>
      <c r="C230" s="5" t="str">
        <f>'2_Cleaned_Data'!C231</f>
        <v>West</v>
      </c>
      <c r="D230" s="5" t="str">
        <f>'2_Cleaned_Data'!D231</f>
        <v>Mall</v>
      </c>
      <c r="E230" s="12">
        <f>'2_Cleaned_Data'!M231</f>
        <v>761919.25</v>
      </c>
      <c r="F230" s="12">
        <f>'5_Multiple_Regression'!$B$324+'5_Multiple_Regression'!$B$325*'2_Cleaned_Data'!E231+'5_Multiple_Regression'!$B$326*'2_Cleaned_Data'!F231+'5_Multiple_Regression'!$B$327*'2_Cleaned_Data'!G231+'5_Multiple_Regression'!$B$328*'2_Cleaned_Data'!I231+'5_Multiple_Regression'!$B$329*IF('2_Cleaned_Data'!D231="Airport",1,0)+'5_Multiple_Regression'!$B$330*IF('2_Cleaned_Data'!D231="High Street",1,0)+'5_Multiple_Regression'!$B$331*IF('2_Cleaned_Data'!D231="Mall",1,0)</f>
        <v>776209.19094097114</v>
      </c>
      <c r="G230" s="12">
        <f>E230-F230</f>
        <v>-14289.940940971137</v>
      </c>
      <c r="H230" s="13">
        <f>G230/E230*100</f>
        <v>-1.8755190843348737</v>
      </c>
    </row>
    <row r="231" spans="1:8" x14ac:dyDescent="0.45">
      <c r="A231" s="5" t="str">
        <f>'2_Cleaned_Data'!A230</f>
        <v>STR-1060</v>
      </c>
      <c r="B231" s="18">
        <f>'2_Cleaned_Data'!B230</f>
        <v>45689</v>
      </c>
      <c r="C231" s="5" t="str">
        <f>'2_Cleaned_Data'!C230</f>
        <v>West</v>
      </c>
      <c r="D231" s="5" t="str">
        <f>'2_Cleaned_Data'!D230</f>
        <v>Mall</v>
      </c>
      <c r="E231" s="12">
        <f>'2_Cleaned_Data'!M230</f>
        <v>810355.02</v>
      </c>
      <c r="F231" s="12">
        <f>'5_Multiple_Regression'!$B$324+'5_Multiple_Regression'!$B$325*'2_Cleaned_Data'!E230+'5_Multiple_Regression'!$B$326*'2_Cleaned_Data'!F230+'5_Multiple_Regression'!$B$327*'2_Cleaned_Data'!G230+'5_Multiple_Regression'!$B$328*'2_Cleaned_Data'!I230+'5_Multiple_Regression'!$B$329*IF('2_Cleaned_Data'!D230="Airport",1,0)+'5_Multiple_Regression'!$B$330*IF('2_Cleaned_Data'!D230="High Street",1,0)+'5_Multiple_Regression'!$B$331*IF('2_Cleaned_Data'!D230="Mall",1,0)</f>
        <v>830480.31919007527</v>
      </c>
      <c r="G231" s="12">
        <f>E231-F231</f>
        <v>-20125.299190075253</v>
      </c>
      <c r="H231" s="13">
        <f>G231/E231*100</f>
        <v>-2.4835163222750509</v>
      </c>
    </row>
    <row r="232" spans="1:8" x14ac:dyDescent="0.45">
      <c r="A232" s="5" t="str">
        <f>'2_Cleaned_Data'!A229</f>
        <v>STR-1060</v>
      </c>
      <c r="B232" s="18">
        <f>'2_Cleaned_Data'!B229</f>
        <v>45658</v>
      </c>
      <c r="C232" s="5" t="str">
        <f>'2_Cleaned_Data'!C229</f>
        <v>West</v>
      </c>
      <c r="D232" s="5" t="str">
        <f>'2_Cleaned_Data'!D229</f>
        <v>Mall</v>
      </c>
      <c r="E232" s="12">
        <f>'2_Cleaned_Data'!M229</f>
        <v>721079.35</v>
      </c>
      <c r="F232" s="12">
        <f>'5_Multiple_Regression'!$B$324+'5_Multiple_Regression'!$B$325*'2_Cleaned_Data'!E229+'5_Multiple_Regression'!$B$326*'2_Cleaned_Data'!F229+'5_Multiple_Regression'!$B$327*'2_Cleaned_Data'!G229+'5_Multiple_Regression'!$B$328*'2_Cleaned_Data'!I229+'5_Multiple_Regression'!$B$329*IF('2_Cleaned_Data'!D229="Airport",1,0)+'5_Multiple_Regression'!$B$330*IF('2_Cleaned_Data'!D229="High Street",1,0)+'5_Multiple_Regression'!$B$331*IF('2_Cleaned_Data'!D229="Mall",1,0)</f>
        <v>796827.74683921749</v>
      </c>
      <c r="G232" s="12">
        <f>E232-F232</f>
        <v>-75748.396839217516</v>
      </c>
      <c r="H232" s="13">
        <f>G232/E232*100</f>
        <v>-10.504862861378227</v>
      </c>
    </row>
    <row r="233" spans="1:8" x14ac:dyDescent="0.45">
      <c r="A233" s="5" t="str">
        <f>'2_Cleaned_Data'!A233</f>
        <v>STR-1061</v>
      </c>
      <c r="B233" s="18">
        <f>'2_Cleaned_Data'!B233</f>
        <v>45658</v>
      </c>
      <c r="C233" s="5" t="str">
        <f>'2_Cleaned_Data'!C233</f>
        <v>South</v>
      </c>
      <c r="D233" s="5" t="str">
        <f>'2_Cleaned_Data'!D233</f>
        <v>Airport</v>
      </c>
      <c r="E233" s="12">
        <f>'2_Cleaned_Data'!M233</f>
        <v>776992.93</v>
      </c>
      <c r="F233" s="12">
        <f>'5_Multiple_Regression'!$B$324+'5_Multiple_Regression'!$B$325*'2_Cleaned_Data'!E233+'5_Multiple_Regression'!$B$326*'2_Cleaned_Data'!F233+'5_Multiple_Regression'!$B$327*'2_Cleaned_Data'!G233+'5_Multiple_Regression'!$B$328*'2_Cleaned_Data'!I233+'5_Multiple_Regression'!$B$329*IF('2_Cleaned_Data'!D233="Airport",1,0)+'5_Multiple_Regression'!$B$330*IF('2_Cleaned_Data'!D233="High Street",1,0)+'5_Multiple_Regression'!$B$331*IF('2_Cleaned_Data'!D233="Mall",1,0)</f>
        <v>752978.30831515649</v>
      </c>
      <c r="G233" s="12">
        <f>E233-F233</f>
        <v>24014.621684843558</v>
      </c>
      <c r="H233" s="13">
        <f>G233/E233*100</f>
        <v>3.0907130242283616</v>
      </c>
    </row>
    <row r="234" spans="1:8" x14ac:dyDescent="0.45">
      <c r="A234" s="5" t="str">
        <f>'2_Cleaned_Data'!A234</f>
        <v>STR-1061</v>
      </c>
      <c r="B234" s="18">
        <f>'2_Cleaned_Data'!B234</f>
        <v>45689</v>
      </c>
      <c r="C234" s="5" t="str">
        <f>'2_Cleaned_Data'!C234</f>
        <v>South</v>
      </c>
      <c r="D234" s="5" t="str">
        <f>'2_Cleaned_Data'!D234</f>
        <v>Airport</v>
      </c>
      <c r="E234" s="12">
        <f>'2_Cleaned_Data'!M234</f>
        <v>676337.41</v>
      </c>
      <c r="F234" s="12">
        <f>'5_Multiple_Regression'!$B$324+'5_Multiple_Regression'!$B$325*'2_Cleaned_Data'!E234+'5_Multiple_Regression'!$B$326*'2_Cleaned_Data'!F234+'5_Multiple_Regression'!$B$327*'2_Cleaned_Data'!G234+'5_Multiple_Regression'!$B$328*'2_Cleaned_Data'!I234+'5_Multiple_Regression'!$B$329*IF('2_Cleaned_Data'!D234="Airport",1,0)+'5_Multiple_Regression'!$B$330*IF('2_Cleaned_Data'!D234="High Street",1,0)+'5_Multiple_Regression'!$B$331*IF('2_Cleaned_Data'!D234="Mall",1,0)</f>
        <v>662646.31019808876</v>
      </c>
      <c r="G234" s="12">
        <f>E234-F234</f>
        <v>13691.099801911274</v>
      </c>
      <c r="H234" s="13">
        <f>G234/E234*100</f>
        <v>2.0243002382363078</v>
      </c>
    </row>
    <row r="235" spans="1:8" x14ac:dyDescent="0.45">
      <c r="A235" s="5" t="str">
        <f>'2_Cleaned_Data'!A235</f>
        <v>STR-1061</v>
      </c>
      <c r="B235" s="18">
        <f>'2_Cleaned_Data'!B235</f>
        <v>45717</v>
      </c>
      <c r="C235" s="5" t="str">
        <f>'2_Cleaned_Data'!C235</f>
        <v>South</v>
      </c>
      <c r="D235" s="5" t="str">
        <f>'2_Cleaned_Data'!D235</f>
        <v>Airport</v>
      </c>
      <c r="E235" s="12">
        <f>'2_Cleaned_Data'!M235</f>
        <v>828219.67</v>
      </c>
      <c r="F235" s="12">
        <f>'5_Multiple_Regression'!$B$324+'5_Multiple_Regression'!$B$325*'2_Cleaned_Data'!E235+'5_Multiple_Regression'!$B$326*'2_Cleaned_Data'!F235+'5_Multiple_Regression'!$B$327*'2_Cleaned_Data'!G235+'5_Multiple_Regression'!$B$328*'2_Cleaned_Data'!I235+'5_Multiple_Regression'!$B$329*IF('2_Cleaned_Data'!D235="Airport",1,0)+'5_Multiple_Regression'!$B$330*IF('2_Cleaned_Data'!D235="High Street",1,0)+'5_Multiple_Regression'!$B$331*IF('2_Cleaned_Data'!D235="Mall",1,0)</f>
        <v>826583.52367025998</v>
      </c>
      <c r="G235" s="12">
        <f>E235-F235</f>
        <v>1636.1463297400624</v>
      </c>
      <c r="H235" s="13">
        <f>G235/E235*100</f>
        <v>0.19754980339214381</v>
      </c>
    </row>
    <row r="236" spans="1:8" x14ac:dyDescent="0.45">
      <c r="A236" s="5" t="str">
        <f>'2_Cleaned_Data'!A236</f>
        <v>STR-1061</v>
      </c>
      <c r="B236" s="18">
        <f>'2_Cleaned_Data'!B236</f>
        <v>45748</v>
      </c>
      <c r="C236" s="5" t="str">
        <f>'2_Cleaned_Data'!C236</f>
        <v>South</v>
      </c>
      <c r="D236" s="5" t="str">
        <f>'2_Cleaned_Data'!D236</f>
        <v>Airport</v>
      </c>
      <c r="E236" s="12">
        <f>'2_Cleaned_Data'!M236</f>
        <v>763159.92</v>
      </c>
      <c r="F236" s="12">
        <f>'5_Multiple_Regression'!$B$324+'5_Multiple_Regression'!$B$325*'2_Cleaned_Data'!E236+'5_Multiple_Regression'!$B$326*'2_Cleaned_Data'!F236+'5_Multiple_Regression'!$B$327*'2_Cleaned_Data'!G236+'5_Multiple_Regression'!$B$328*'2_Cleaned_Data'!I236+'5_Multiple_Regression'!$B$329*IF('2_Cleaned_Data'!D236="Airport",1,0)+'5_Multiple_Regression'!$B$330*IF('2_Cleaned_Data'!D236="High Street",1,0)+'5_Multiple_Regression'!$B$331*IF('2_Cleaned_Data'!D236="Mall",1,0)</f>
        <v>774424.05690826906</v>
      </c>
      <c r="G236" s="12">
        <f>E236-F236</f>
        <v>-11264.136908269022</v>
      </c>
      <c r="H236" s="13">
        <f>G236/E236*100</f>
        <v>-1.475986436534694</v>
      </c>
    </row>
    <row r="237" spans="1:8" x14ac:dyDescent="0.45">
      <c r="A237" s="5" t="str">
        <f>'2_Cleaned_Data'!A237</f>
        <v>STR-1062</v>
      </c>
      <c r="B237" s="18">
        <f>'2_Cleaned_Data'!B237</f>
        <v>45658</v>
      </c>
      <c r="C237" s="5" t="str">
        <f>'2_Cleaned_Data'!C237</f>
        <v>East</v>
      </c>
      <c r="D237" s="5" t="str">
        <f>'2_Cleaned_Data'!D237</f>
        <v>High Street</v>
      </c>
      <c r="E237" s="12">
        <f>'2_Cleaned_Data'!M237</f>
        <v>802001.68</v>
      </c>
      <c r="F237" s="12">
        <f>'5_Multiple_Regression'!$B$324+'5_Multiple_Regression'!$B$325*'2_Cleaned_Data'!E237+'5_Multiple_Regression'!$B$326*'2_Cleaned_Data'!F237+'5_Multiple_Regression'!$B$327*'2_Cleaned_Data'!G237+'5_Multiple_Regression'!$B$328*'2_Cleaned_Data'!I237+'5_Multiple_Regression'!$B$329*IF('2_Cleaned_Data'!D237="Airport",1,0)+'5_Multiple_Regression'!$B$330*IF('2_Cleaned_Data'!D237="High Street",1,0)+'5_Multiple_Regression'!$B$331*IF('2_Cleaned_Data'!D237="Mall",1,0)</f>
        <v>794672.33111003053</v>
      </c>
      <c r="G237" s="12">
        <f>E237-F237</f>
        <v>7329.3488899695221</v>
      </c>
      <c r="H237" s="13">
        <f>G237/E237*100</f>
        <v>0.91388198712620172</v>
      </c>
    </row>
    <row r="238" spans="1:8" x14ac:dyDescent="0.45">
      <c r="A238" s="5" t="str">
        <f>'2_Cleaned_Data'!A238</f>
        <v>STR-1062</v>
      </c>
      <c r="B238" s="18">
        <f>'2_Cleaned_Data'!B238</f>
        <v>45689</v>
      </c>
      <c r="C238" s="5" t="str">
        <f>'2_Cleaned_Data'!C238</f>
        <v>East</v>
      </c>
      <c r="D238" s="5" t="str">
        <f>'2_Cleaned_Data'!D238</f>
        <v>High Street</v>
      </c>
      <c r="E238" s="12">
        <f>'2_Cleaned_Data'!M238</f>
        <v>750471.34</v>
      </c>
      <c r="F238" s="12">
        <f>'5_Multiple_Regression'!$B$324+'5_Multiple_Regression'!$B$325*'2_Cleaned_Data'!E238+'5_Multiple_Regression'!$B$326*'2_Cleaned_Data'!F238+'5_Multiple_Regression'!$B$327*'2_Cleaned_Data'!G238+'5_Multiple_Regression'!$B$328*'2_Cleaned_Data'!I238+'5_Multiple_Regression'!$B$329*IF('2_Cleaned_Data'!D238="Airport",1,0)+'5_Multiple_Regression'!$B$330*IF('2_Cleaned_Data'!D238="High Street",1,0)+'5_Multiple_Regression'!$B$331*IF('2_Cleaned_Data'!D238="Mall",1,0)</f>
        <v>755762.01963280386</v>
      </c>
      <c r="G238" s="12">
        <f>E238-F238</f>
        <v>-5290.6796328038909</v>
      </c>
      <c r="H238" s="13">
        <f>G238/E238*100</f>
        <v>-0.70498090344181441</v>
      </c>
    </row>
    <row r="239" spans="1:8" x14ac:dyDescent="0.45">
      <c r="A239" s="5" t="str">
        <f>'2_Cleaned_Data'!A240</f>
        <v>STR-1062</v>
      </c>
      <c r="B239" s="18">
        <f>'2_Cleaned_Data'!B240</f>
        <v>45748</v>
      </c>
      <c r="C239" s="5" t="str">
        <f>'2_Cleaned_Data'!C240</f>
        <v>East</v>
      </c>
      <c r="D239" s="5" t="str">
        <f>'2_Cleaned_Data'!D240</f>
        <v>High Street</v>
      </c>
      <c r="E239" s="12">
        <f>'2_Cleaned_Data'!M240</f>
        <v>679888.74</v>
      </c>
      <c r="F239" s="12">
        <f>'5_Multiple_Regression'!$B$324+'5_Multiple_Regression'!$B$325*'2_Cleaned_Data'!E240+'5_Multiple_Regression'!$B$326*'2_Cleaned_Data'!F240+'5_Multiple_Regression'!$B$327*'2_Cleaned_Data'!G240+'5_Multiple_Regression'!$B$328*'2_Cleaned_Data'!I240+'5_Multiple_Regression'!$B$329*IF('2_Cleaned_Data'!D240="Airport",1,0)+'5_Multiple_Regression'!$B$330*IF('2_Cleaned_Data'!D240="High Street",1,0)+'5_Multiple_Regression'!$B$331*IF('2_Cleaned_Data'!D240="Mall",1,0)</f>
        <v>693584.18237431056</v>
      </c>
      <c r="G239" s="12">
        <f>E239-F239</f>
        <v>-13695.442374310573</v>
      </c>
      <c r="H239" s="13">
        <f>G239/E239*100</f>
        <v>-2.0143652289800493</v>
      </c>
    </row>
    <row r="240" spans="1:8" x14ac:dyDescent="0.45">
      <c r="A240" s="5" t="str">
        <f>'2_Cleaned_Data'!A239</f>
        <v>STR-1062</v>
      </c>
      <c r="B240" s="18">
        <f>'2_Cleaned_Data'!B239</f>
        <v>45717</v>
      </c>
      <c r="C240" s="5" t="str">
        <f>'2_Cleaned_Data'!C239</f>
        <v>East</v>
      </c>
      <c r="D240" s="5" t="str">
        <f>'2_Cleaned_Data'!D239</f>
        <v>High Street</v>
      </c>
      <c r="E240" s="12">
        <f>'2_Cleaned_Data'!M239</f>
        <v>679230.86</v>
      </c>
      <c r="F240" s="12">
        <f>'5_Multiple_Regression'!$B$324+'5_Multiple_Regression'!$B$325*'2_Cleaned_Data'!E239+'5_Multiple_Regression'!$B$326*'2_Cleaned_Data'!F239+'5_Multiple_Regression'!$B$327*'2_Cleaned_Data'!G239+'5_Multiple_Regression'!$B$328*'2_Cleaned_Data'!I239+'5_Multiple_Regression'!$B$329*IF('2_Cleaned_Data'!D239="Airport",1,0)+'5_Multiple_Regression'!$B$330*IF('2_Cleaned_Data'!D239="High Street",1,0)+'5_Multiple_Regression'!$B$331*IF('2_Cleaned_Data'!D239="Mall",1,0)</f>
        <v>715055.30391500052</v>
      </c>
      <c r="G240" s="12">
        <f>E240-F240</f>
        <v>-35824.443915000535</v>
      </c>
      <c r="H240" s="13">
        <f>G240/E240*100</f>
        <v>-5.2742662362249764</v>
      </c>
    </row>
    <row r="241" spans="1:8" x14ac:dyDescent="0.45">
      <c r="A241" s="5" t="str">
        <f>'2_Cleaned_Data'!A243</f>
        <v>STR-1063</v>
      </c>
      <c r="B241" s="18">
        <f>'2_Cleaned_Data'!B243</f>
        <v>45748</v>
      </c>
      <c r="C241" s="5" t="str">
        <f>'2_Cleaned_Data'!C243</f>
        <v>North</v>
      </c>
      <c r="D241" s="5" t="str">
        <f>'2_Cleaned_Data'!D243</f>
        <v>High Street</v>
      </c>
      <c r="E241" s="12">
        <f>'2_Cleaned_Data'!M243</f>
        <v>729440.45</v>
      </c>
      <c r="F241" s="12">
        <f>'5_Multiple_Regression'!$B$324+'5_Multiple_Regression'!$B$325*'2_Cleaned_Data'!E243+'5_Multiple_Regression'!$B$326*'2_Cleaned_Data'!F243+'5_Multiple_Regression'!$B$327*'2_Cleaned_Data'!G243+'5_Multiple_Regression'!$B$328*'2_Cleaned_Data'!I243+'5_Multiple_Regression'!$B$329*IF('2_Cleaned_Data'!D243="Airport",1,0)+'5_Multiple_Regression'!$B$330*IF('2_Cleaned_Data'!D243="High Street",1,0)+'5_Multiple_Regression'!$B$331*IF('2_Cleaned_Data'!D243="Mall",1,0)</f>
        <v>714669.60399271525</v>
      </c>
      <c r="G241" s="12">
        <f>E241-F241</f>
        <v>14770.846007284708</v>
      </c>
      <c r="H241" s="13">
        <f>G241/E241*100</f>
        <v>2.0249557050592286</v>
      </c>
    </row>
    <row r="242" spans="1:8" x14ac:dyDescent="0.45">
      <c r="A242" s="5" t="str">
        <f>'2_Cleaned_Data'!A242</f>
        <v>STR-1063</v>
      </c>
      <c r="B242" s="18">
        <f>'2_Cleaned_Data'!B242</f>
        <v>45717</v>
      </c>
      <c r="C242" s="5" t="str">
        <f>'2_Cleaned_Data'!C242</f>
        <v>North</v>
      </c>
      <c r="D242" s="5" t="str">
        <f>'2_Cleaned_Data'!D242</f>
        <v>High Street</v>
      </c>
      <c r="E242" s="12">
        <f>'2_Cleaned_Data'!M242</f>
        <v>647953.78</v>
      </c>
      <c r="F242" s="12">
        <f>'5_Multiple_Regression'!$B$324+'5_Multiple_Regression'!$B$325*'2_Cleaned_Data'!E242+'5_Multiple_Regression'!$B$326*'2_Cleaned_Data'!F242+'5_Multiple_Regression'!$B$327*'2_Cleaned_Data'!G242+'5_Multiple_Regression'!$B$328*'2_Cleaned_Data'!I242+'5_Multiple_Regression'!$B$329*IF('2_Cleaned_Data'!D242="Airport",1,0)+'5_Multiple_Regression'!$B$330*IF('2_Cleaned_Data'!D242="High Street",1,0)+'5_Multiple_Regression'!$B$331*IF('2_Cleaned_Data'!D242="Mall",1,0)</f>
        <v>644627.56446959183</v>
      </c>
      <c r="G242" s="12">
        <f>E242-F242</f>
        <v>3326.2155304081971</v>
      </c>
      <c r="H242" s="13">
        <f>G242/E242*100</f>
        <v>0.51334148099393706</v>
      </c>
    </row>
    <row r="243" spans="1:8" x14ac:dyDescent="0.45">
      <c r="A243" s="5" t="str">
        <f>'2_Cleaned_Data'!A241</f>
        <v>STR-1063</v>
      </c>
      <c r="B243" s="18">
        <f>'2_Cleaned_Data'!B241</f>
        <v>45689</v>
      </c>
      <c r="C243" s="5" t="str">
        <f>'2_Cleaned_Data'!C241</f>
        <v>North</v>
      </c>
      <c r="D243" s="5" t="str">
        <f>'2_Cleaned_Data'!D241</f>
        <v>High Street</v>
      </c>
      <c r="E243" s="12">
        <f>'2_Cleaned_Data'!M241</f>
        <v>642751.42000000004</v>
      </c>
      <c r="F243" s="12">
        <f>'5_Multiple_Regression'!$B$324+'5_Multiple_Regression'!$B$325*'2_Cleaned_Data'!E241+'5_Multiple_Regression'!$B$326*'2_Cleaned_Data'!F241+'5_Multiple_Regression'!$B$327*'2_Cleaned_Data'!G241+'5_Multiple_Regression'!$B$328*'2_Cleaned_Data'!I241+'5_Multiple_Regression'!$B$329*IF('2_Cleaned_Data'!D241="Airport",1,0)+'5_Multiple_Regression'!$B$330*IF('2_Cleaned_Data'!D241="High Street",1,0)+'5_Multiple_Regression'!$B$331*IF('2_Cleaned_Data'!D241="Mall",1,0)</f>
        <v>660640.50256423501</v>
      </c>
      <c r="G243" s="12">
        <f>E243-F243</f>
        <v>-17889.082564234966</v>
      </c>
      <c r="H243" s="13">
        <f>G243/E243*100</f>
        <v>-2.7832038961866417</v>
      </c>
    </row>
    <row r="244" spans="1:8" x14ac:dyDescent="0.45">
      <c r="A244" s="5" t="str">
        <f>'2_Cleaned_Data'!A245</f>
        <v>STR-1064</v>
      </c>
      <c r="B244" s="18">
        <f>'2_Cleaned_Data'!B245</f>
        <v>45689</v>
      </c>
      <c r="C244" s="5" t="str">
        <f>'2_Cleaned_Data'!C245</f>
        <v>South</v>
      </c>
      <c r="D244" s="5" t="str">
        <f>'2_Cleaned_Data'!D245</f>
        <v>Airport</v>
      </c>
      <c r="E244" s="12">
        <f>'2_Cleaned_Data'!M245</f>
        <v>799046.94</v>
      </c>
      <c r="F244" s="12">
        <f>'5_Multiple_Regression'!$B$324+'5_Multiple_Regression'!$B$325*'2_Cleaned_Data'!E245+'5_Multiple_Regression'!$B$326*'2_Cleaned_Data'!F245+'5_Multiple_Regression'!$B$327*'2_Cleaned_Data'!G245+'5_Multiple_Regression'!$B$328*'2_Cleaned_Data'!I245+'5_Multiple_Regression'!$B$329*IF('2_Cleaned_Data'!D245="Airport",1,0)+'5_Multiple_Regression'!$B$330*IF('2_Cleaned_Data'!D245="High Street",1,0)+'5_Multiple_Regression'!$B$331*IF('2_Cleaned_Data'!D245="Mall",1,0)</f>
        <v>727441.87014798087</v>
      </c>
      <c r="G244" s="12">
        <f>E244-F244</f>
        <v>71605.069852019078</v>
      </c>
      <c r="H244" s="13">
        <f>G244/E244*100</f>
        <v>8.9613095636182631</v>
      </c>
    </row>
    <row r="245" spans="1:8" x14ac:dyDescent="0.45">
      <c r="A245" s="5" t="str">
        <f>'2_Cleaned_Data'!A246</f>
        <v>STR-1064</v>
      </c>
      <c r="B245" s="18">
        <f>'2_Cleaned_Data'!B246</f>
        <v>45717</v>
      </c>
      <c r="C245" s="5" t="str">
        <f>'2_Cleaned_Data'!C246</f>
        <v>South</v>
      </c>
      <c r="D245" s="5" t="str">
        <f>'2_Cleaned_Data'!D246</f>
        <v>Airport</v>
      </c>
      <c r="E245" s="12">
        <f>'2_Cleaned_Data'!M246</f>
        <v>720079.54</v>
      </c>
      <c r="F245" s="12">
        <f>'5_Multiple_Regression'!$B$324+'5_Multiple_Regression'!$B$325*'2_Cleaned_Data'!E246+'5_Multiple_Regression'!$B$326*'2_Cleaned_Data'!F246+'5_Multiple_Regression'!$B$327*'2_Cleaned_Data'!G246+'5_Multiple_Regression'!$B$328*'2_Cleaned_Data'!I246+'5_Multiple_Regression'!$B$329*IF('2_Cleaned_Data'!D246="Airport",1,0)+'5_Multiple_Regression'!$B$330*IF('2_Cleaned_Data'!D246="High Street",1,0)+'5_Multiple_Regression'!$B$331*IF('2_Cleaned_Data'!D246="Mall",1,0)</f>
        <v>696636.30545426649</v>
      </c>
      <c r="G245" s="12">
        <f>E245-F245</f>
        <v>23443.234545733547</v>
      </c>
      <c r="H245" s="13">
        <f>G245/E245*100</f>
        <v>3.2556451396652024</v>
      </c>
    </row>
    <row r="246" spans="1:8" x14ac:dyDescent="0.45">
      <c r="A246" s="5" t="str">
        <f>'2_Cleaned_Data'!A244</f>
        <v>STR-1064</v>
      </c>
      <c r="B246" s="18">
        <f>'2_Cleaned_Data'!B244</f>
        <v>45658</v>
      </c>
      <c r="C246" s="5" t="str">
        <f>'2_Cleaned_Data'!C244</f>
        <v>South</v>
      </c>
      <c r="D246" s="5" t="str">
        <f>'2_Cleaned_Data'!D244</f>
        <v>Airport</v>
      </c>
      <c r="E246" s="12">
        <f>'2_Cleaned_Data'!M244</f>
        <v>764949</v>
      </c>
      <c r="F246" s="12">
        <f>'5_Multiple_Regression'!$B$324+'5_Multiple_Regression'!$B$325*'2_Cleaned_Data'!E244+'5_Multiple_Regression'!$B$326*'2_Cleaned_Data'!F244+'5_Multiple_Regression'!$B$327*'2_Cleaned_Data'!G244+'5_Multiple_Regression'!$B$328*'2_Cleaned_Data'!I244+'5_Multiple_Regression'!$B$329*IF('2_Cleaned_Data'!D244="Airport",1,0)+'5_Multiple_Regression'!$B$330*IF('2_Cleaned_Data'!D244="High Street",1,0)+'5_Multiple_Regression'!$B$331*IF('2_Cleaned_Data'!D244="Mall",1,0)</f>
        <v>774233.03239338729</v>
      </c>
      <c r="G246" s="12">
        <f>E246-F246</f>
        <v>-9284.032393387286</v>
      </c>
      <c r="H246" s="13">
        <f>G246/E246*100</f>
        <v>-1.2136799176660518</v>
      </c>
    </row>
    <row r="247" spans="1:8" x14ac:dyDescent="0.45">
      <c r="A247" s="5" t="str">
        <f>'2_Cleaned_Data'!A247</f>
        <v>STR-1064</v>
      </c>
      <c r="B247" s="18">
        <f>'2_Cleaned_Data'!B247</f>
        <v>45748</v>
      </c>
      <c r="C247" s="5" t="str">
        <f>'2_Cleaned_Data'!C247</f>
        <v>South</v>
      </c>
      <c r="D247" s="5" t="str">
        <f>'2_Cleaned_Data'!D247</f>
        <v>Airport</v>
      </c>
      <c r="E247" s="12">
        <f>'2_Cleaned_Data'!M247</f>
        <v>612390.14</v>
      </c>
      <c r="F247" s="12">
        <f>'5_Multiple_Regression'!$B$324+'5_Multiple_Regression'!$B$325*'2_Cleaned_Data'!E247+'5_Multiple_Regression'!$B$326*'2_Cleaned_Data'!F247+'5_Multiple_Regression'!$B$327*'2_Cleaned_Data'!G247+'5_Multiple_Regression'!$B$328*'2_Cleaned_Data'!I247+'5_Multiple_Regression'!$B$329*IF('2_Cleaned_Data'!D247="Airport",1,0)+'5_Multiple_Regression'!$B$330*IF('2_Cleaned_Data'!D247="High Street",1,0)+'5_Multiple_Regression'!$B$331*IF('2_Cleaned_Data'!D247="Mall",1,0)</f>
        <v>660390.75083705818</v>
      </c>
      <c r="G247" s="12">
        <f>E247-F247</f>
        <v>-48000.610837058164</v>
      </c>
      <c r="H247" s="13">
        <f>G247/E247*100</f>
        <v>-7.8382403147539508</v>
      </c>
    </row>
    <row r="248" spans="1:8" x14ac:dyDescent="0.45">
      <c r="A248" s="5" t="str">
        <f>'2_Cleaned_Data'!A248</f>
        <v>STR-1065</v>
      </c>
      <c r="B248" s="18">
        <f>'2_Cleaned_Data'!B248</f>
        <v>45658</v>
      </c>
      <c r="C248" s="5" t="str">
        <f>'2_Cleaned_Data'!C248</f>
        <v>South</v>
      </c>
      <c r="D248" s="5" t="str">
        <f>'2_Cleaned_Data'!D248</f>
        <v>Mall</v>
      </c>
      <c r="E248" s="12">
        <f>'2_Cleaned_Data'!M248</f>
        <v>840108.12</v>
      </c>
      <c r="F248" s="12">
        <f>'5_Multiple_Regression'!$B$324+'5_Multiple_Regression'!$B$325*'2_Cleaned_Data'!E248+'5_Multiple_Regression'!$B$326*'2_Cleaned_Data'!F248+'5_Multiple_Regression'!$B$327*'2_Cleaned_Data'!G248+'5_Multiple_Regression'!$B$328*'2_Cleaned_Data'!I248+'5_Multiple_Regression'!$B$329*IF('2_Cleaned_Data'!D248="Airport",1,0)+'5_Multiple_Regression'!$B$330*IF('2_Cleaned_Data'!D248="High Street",1,0)+'5_Multiple_Regression'!$B$331*IF('2_Cleaned_Data'!D248="Mall",1,0)</f>
        <v>759290.52737036278</v>
      </c>
      <c r="G248" s="12">
        <f>E248-F248</f>
        <v>80817.59262963722</v>
      </c>
      <c r="H248" s="13">
        <f>G248/E248*100</f>
        <v>9.6199037606775217</v>
      </c>
    </row>
    <row r="249" spans="1:8" x14ac:dyDescent="0.45">
      <c r="A249" s="5" t="str">
        <f>'2_Cleaned_Data'!A251</f>
        <v>STR-1065</v>
      </c>
      <c r="B249" s="18">
        <f>'2_Cleaned_Data'!B251</f>
        <v>45748</v>
      </c>
      <c r="C249" s="5" t="str">
        <f>'2_Cleaned_Data'!C251</f>
        <v>South</v>
      </c>
      <c r="D249" s="5" t="str">
        <f>'2_Cleaned_Data'!D251</f>
        <v>Mall</v>
      </c>
      <c r="E249" s="12">
        <f>'2_Cleaned_Data'!M251</f>
        <v>776110.32</v>
      </c>
      <c r="F249" s="12">
        <f>'5_Multiple_Regression'!$B$324+'5_Multiple_Regression'!$B$325*'2_Cleaned_Data'!E251+'5_Multiple_Regression'!$B$326*'2_Cleaned_Data'!F251+'5_Multiple_Regression'!$B$327*'2_Cleaned_Data'!G251+'5_Multiple_Regression'!$B$328*'2_Cleaned_Data'!I251+'5_Multiple_Regression'!$B$329*IF('2_Cleaned_Data'!D251="Airport",1,0)+'5_Multiple_Regression'!$B$330*IF('2_Cleaned_Data'!D251="High Street",1,0)+'5_Multiple_Regression'!$B$331*IF('2_Cleaned_Data'!D251="Mall",1,0)</f>
        <v>731802.89007023594</v>
      </c>
      <c r="G249" s="12">
        <f>E249-F249</f>
        <v>44307.42992976401</v>
      </c>
      <c r="H249" s="13">
        <f>G249/E249*100</f>
        <v>5.7089087450562461</v>
      </c>
    </row>
    <row r="250" spans="1:8" x14ac:dyDescent="0.45">
      <c r="A250" s="5" t="str">
        <f>'2_Cleaned_Data'!A249</f>
        <v>STR-1065</v>
      </c>
      <c r="B250" s="18">
        <f>'2_Cleaned_Data'!B249</f>
        <v>45689</v>
      </c>
      <c r="C250" s="5" t="str">
        <f>'2_Cleaned_Data'!C249</f>
        <v>South</v>
      </c>
      <c r="D250" s="5" t="str">
        <f>'2_Cleaned_Data'!D249</f>
        <v>Mall</v>
      </c>
      <c r="E250" s="12">
        <f>'2_Cleaned_Data'!M249</f>
        <v>697888.09</v>
      </c>
      <c r="F250" s="12">
        <f>'5_Multiple_Regression'!$B$324+'5_Multiple_Regression'!$B$325*'2_Cleaned_Data'!E249+'5_Multiple_Regression'!$B$326*'2_Cleaned_Data'!F249+'5_Multiple_Regression'!$B$327*'2_Cleaned_Data'!G249+'5_Multiple_Regression'!$B$328*'2_Cleaned_Data'!I249+'5_Multiple_Regression'!$B$329*IF('2_Cleaned_Data'!D249="Airport",1,0)+'5_Multiple_Regression'!$B$330*IF('2_Cleaned_Data'!D249="High Street",1,0)+'5_Multiple_Regression'!$B$331*IF('2_Cleaned_Data'!D249="Mall",1,0)</f>
        <v>679141.65000455349</v>
      </c>
      <c r="G250" s="12">
        <f>E250-F250</f>
        <v>18746.439995446475</v>
      </c>
      <c r="H250" s="13">
        <f>G250/E250*100</f>
        <v>2.6861670608888706</v>
      </c>
    </row>
    <row r="251" spans="1:8" x14ac:dyDescent="0.45">
      <c r="A251" s="5" t="str">
        <f>'2_Cleaned_Data'!A250</f>
        <v>STR-1065</v>
      </c>
      <c r="B251" s="18">
        <f>'2_Cleaned_Data'!B250</f>
        <v>45717</v>
      </c>
      <c r="C251" s="5" t="str">
        <f>'2_Cleaned_Data'!C250</f>
        <v>South</v>
      </c>
      <c r="D251" s="5" t="str">
        <f>'2_Cleaned_Data'!D250</f>
        <v>Mall</v>
      </c>
      <c r="E251" s="12">
        <f>'2_Cleaned_Data'!M250</f>
        <v>746115.59</v>
      </c>
      <c r="F251" s="12">
        <f>'5_Multiple_Regression'!$B$324+'5_Multiple_Regression'!$B$325*'2_Cleaned_Data'!E250+'5_Multiple_Regression'!$B$326*'2_Cleaned_Data'!F250+'5_Multiple_Regression'!$B$327*'2_Cleaned_Data'!G250+'5_Multiple_Regression'!$B$328*'2_Cleaned_Data'!I250+'5_Multiple_Regression'!$B$329*IF('2_Cleaned_Data'!D250="Airport",1,0)+'5_Multiple_Regression'!$B$330*IF('2_Cleaned_Data'!D250="High Street",1,0)+'5_Multiple_Regression'!$B$331*IF('2_Cleaned_Data'!D250="Mall",1,0)</f>
        <v>744792.67796403659</v>
      </c>
      <c r="G251" s="12">
        <f>E251-F251</f>
        <v>1322.9120359633816</v>
      </c>
      <c r="H251" s="13">
        <f>G251/E251*100</f>
        <v>0.17730658006534639</v>
      </c>
    </row>
    <row r="252" spans="1:8" x14ac:dyDescent="0.45">
      <c r="A252" s="5" t="str">
        <f>'2_Cleaned_Data'!A253</f>
        <v>STR-1066</v>
      </c>
      <c r="B252" s="18">
        <f>'2_Cleaned_Data'!B253</f>
        <v>45717</v>
      </c>
      <c r="C252" s="5" t="str">
        <f>'2_Cleaned_Data'!C253</f>
        <v>West</v>
      </c>
      <c r="D252" s="5" t="str">
        <f>'2_Cleaned_Data'!D253</f>
        <v>High Street</v>
      </c>
      <c r="E252" s="12">
        <f>'2_Cleaned_Data'!M253</f>
        <v>677640.65</v>
      </c>
      <c r="F252" s="12">
        <f>'5_Multiple_Regression'!$B$324+'5_Multiple_Regression'!$B$325*'2_Cleaned_Data'!E253+'5_Multiple_Regression'!$B$326*'2_Cleaned_Data'!F253+'5_Multiple_Regression'!$B$327*'2_Cleaned_Data'!G253+'5_Multiple_Regression'!$B$328*'2_Cleaned_Data'!I253+'5_Multiple_Regression'!$B$329*IF('2_Cleaned_Data'!D253="Airport",1,0)+'5_Multiple_Regression'!$B$330*IF('2_Cleaned_Data'!D253="High Street",1,0)+'5_Multiple_Regression'!$B$331*IF('2_Cleaned_Data'!D253="Mall",1,0)</f>
        <v>608844.00666046387</v>
      </c>
      <c r="G252" s="12">
        <f>E252-F252</f>
        <v>68796.643339536153</v>
      </c>
      <c r="H252" s="13">
        <f>G252/E252*100</f>
        <v>10.152378453024644</v>
      </c>
    </row>
    <row r="253" spans="1:8" x14ac:dyDescent="0.45">
      <c r="A253" s="5" t="str">
        <f>'2_Cleaned_Data'!A254</f>
        <v>STR-1066</v>
      </c>
      <c r="B253" s="18">
        <f>'2_Cleaned_Data'!B254</f>
        <v>45748</v>
      </c>
      <c r="C253" s="5" t="str">
        <f>'2_Cleaned_Data'!C254</f>
        <v>West</v>
      </c>
      <c r="D253" s="5" t="str">
        <f>'2_Cleaned_Data'!D254</f>
        <v>High Street</v>
      </c>
      <c r="E253" s="12">
        <f>'2_Cleaned_Data'!M254</f>
        <v>636613.23</v>
      </c>
      <c r="F253" s="12">
        <f>'5_Multiple_Regression'!$B$324+'5_Multiple_Regression'!$B$325*'2_Cleaned_Data'!E254+'5_Multiple_Regression'!$B$326*'2_Cleaned_Data'!F254+'5_Multiple_Regression'!$B$327*'2_Cleaned_Data'!G254+'5_Multiple_Regression'!$B$328*'2_Cleaned_Data'!I254+'5_Multiple_Regression'!$B$329*IF('2_Cleaned_Data'!D254="Airport",1,0)+'5_Multiple_Regression'!$B$330*IF('2_Cleaned_Data'!D254="High Street",1,0)+'5_Multiple_Regression'!$B$331*IF('2_Cleaned_Data'!D254="Mall",1,0)</f>
        <v>609193.25991791172</v>
      </c>
      <c r="G253" s="12">
        <f>E253-F253</f>
        <v>27419.970082088257</v>
      </c>
      <c r="H253" s="13">
        <f>G253/E253*100</f>
        <v>4.307163092116113</v>
      </c>
    </row>
    <row r="254" spans="1:8" x14ac:dyDescent="0.45">
      <c r="A254" s="5" t="str">
        <f>'2_Cleaned_Data'!A252</f>
        <v>STR-1066</v>
      </c>
      <c r="B254" s="18">
        <f>'2_Cleaned_Data'!B252</f>
        <v>45658</v>
      </c>
      <c r="C254" s="5" t="str">
        <f>'2_Cleaned_Data'!C252</f>
        <v>West</v>
      </c>
      <c r="D254" s="5" t="str">
        <f>'2_Cleaned_Data'!D252</f>
        <v>High Street</v>
      </c>
      <c r="E254" s="12">
        <f>'2_Cleaned_Data'!M252</f>
        <v>528852.62</v>
      </c>
      <c r="F254" s="12">
        <f>'5_Multiple_Regression'!$B$324+'5_Multiple_Regression'!$B$325*'2_Cleaned_Data'!E252+'5_Multiple_Regression'!$B$326*'2_Cleaned_Data'!F252+'5_Multiple_Regression'!$B$327*'2_Cleaned_Data'!G252+'5_Multiple_Regression'!$B$328*'2_Cleaned_Data'!I252+'5_Multiple_Regression'!$B$329*IF('2_Cleaned_Data'!D252="Airport",1,0)+'5_Multiple_Regression'!$B$330*IF('2_Cleaned_Data'!D252="High Street",1,0)+'5_Multiple_Regression'!$B$331*IF('2_Cleaned_Data'!D252="Mall",1,0)</f>
        <v>519631.21998928813</v>
      </c>
      <c r="G254" s="12">
        <f>E254-F254</f>
        <v>9221.4000107118627</v>
      </c>
      <c r="H254" s="13">
        <f>G254/E254*100</f>
        <v>1.74366159152466</v>
      </c>
    </row>
    <row r="255" spans="1:8" x14ac:dyDescent="0.45">
      <c r="A255" s="5" t="str">
        <f>'2_Cleaned_Data'!A256</f>
        <v>STR-1067</v>
      </c>
      <c r="B255" s="18">
        <f>'2_Cleaned_Data'!B256</f>
        <v>45689</v>
      </c>
      <c r="C255" s="5" t="str">
        <f>'2_Cleaned_Data'!C256</f>
        <v>East</v>
      </c>
      <c r="D255" s="5" t="str">
        <f>'2_Cleaned_Data'!D256</f>
        <v>High Street</v>
      </c>
      <c r="E255" s="12">
        <f>'2_Cleaned_Data'!M256</f>
        <v>767792.94</v>
      </c>
      <c r="F255" s="12">
        <f>'5_Multiple_Regression'!$B$324+'5_Multiple_Regression'!$B$325*'2_Cleaned_Data'!E256+'5_Multiple_Regression'!$B$326*'2_Cleaned_Data'!F256+'5_Multiple_Regression'!$B$327*'2_Cleaned_Data'!G256+'5_Multiple_Regression'!$B$328*'2_Cleaned_Data'!I256+'5_Multiple_Regression'!$B$329*IF('2_Cleaned_Data'!D256="Airport",1,0)+'5_Multiple_Regression'!$B$330*IF('2_Cleaned_Data'!D256="High Street",1,0)+'5_Multiple_Regression'!$B$331*IF('2_Cleaned_Data'!D256="Mall",1,0)</f>
        <v>740390.68568281969</v>
      </c>
      <c r="G255" s="12">
        <f>E255-F255</f>
        <v>27402.254317180254</v>
      </c>
      <c r="H255" s="13">
        <f>G255/E255*100</f>
        <v>3.5689640903939877</v>
      </c>
    </row>
    <row r="256" spans="1:8" x14ac:dyDescent="0.45">
      <c r="A256" s="5" t="str">
        <f>'2_Cleaned_Data'!A258</f>
        <v>STR-1067</v>
      </c>
      <c r="B256" s="18">
        <f>'2_Cleaned_Data'!B258</f>
        <v>45748</v>
      </c>
      <c r="C256" s="5" t="str">
        <f>'2_Cleaned_Data'!C258</f>
        <v>East</v>
      </c>
      <c r="D256" s="5" t="str">
        <f>'2_Cleaned_Data'!D258</f>
        <v>High Street</v>
      </c>
      <c r="E256" s="12">
        <f>'2_Cleaned_Data'!M258</f>
        <v>762328.31</v>
      </c>
      <c r="F256" s="12">
        <f>'5_Multiple_Regression'!$B$324+'5_Multiple_Regression'!$B$325*'2_Cleaned_Data'!E258+'5_Multiple_Regression'!$B$326*'2_Cleaned_Data'!F258+'5_Multiple_Regression'!$B$327*'2_Cleaned_Data'!G258+'5_Multiple_Regression'!$B$328*'2_Cleaned_Data'!I258+'5_Multiple_Regression'!$B$329*IF('2_Cleaned_Data'!D258="Airport",1,0)+'5_Multiple_Regression'!$B$330*IF('2_Cleaned_Data'!D258="High Street",1,0)+'5_Multiple_Regression'!$B$331*IF('2_Cleaned_Data'!D258="Mall",1,0)</f>
        <v>735507.47397072578</v>
      </c>
      <c r="G256" s="12">
        <f>E256-F256</f>
        <v>26820.836029274273</v>
      </c>
      <c r="H256" s="13">
        <f>G256/E256*100</f>
        <v>3.51827889341723</v>
      </c>
    </row>
    <row r="257" spans="1:8" x14ac:dyDescent="0.45">
      <c r="A257" s="5" t="str">
        <f>'2_Cleaned_Data'!A257</f>
        <v>STR-1067</v>
      </c>
      <c r="B257" s="18">
        <f>'2_Cleaned_Data'!B257</f>
        <v>45717</v>
      </c>
      <c r="C257" s="5" t="str">
        <f>'2_Cleaned_Data'!C257</f>
        <v>East</v>
      </c>
      <c r="D257" s="5" t="str">
        <f>'2_Cleaned_Data'!D257</f>
        <v>High Street</v>
      </c>
      <c r="E257" s="12">
        <f>'2_Cleaned_Data'!M257</f>
        <v>745580.51</v>
      </c>
      <c r="F257" s="12">
        <f>'5_Multiple_Regression'!$B$324+'5_Multiple_Regression'!$B$325*'2_Cleaned_Data'!E257+'5_Multiple_Regression'!$B$326*'2_Cleaned_Data'!F257+'5_Multiple_Regression'!$B$327*'2_Cleaned_Data'!G257+'5_Multiple_Regression'!$B$328*'2_Cleaned_Data'!I257+'5_Multiple_Regression'!$B$329*IF('2_Cleaned_Data'!D257="Airport",1,0)+'5_Multiple_Regression'!$B$330*IF('2_Cleaned_Data'!D257="High Street",1,0)+'5_Multiple_Regression'!$B$331*IF('2_Cleaned_Data'!D257="Mall",1,0)</f>
        <v>726390.8501480507</v>
      </c>
      <c r="G257" s="12">
        <f>E257-F257</f>
        <v>19189.659851949313</v>
      </c>
      <c r="H257" s="13">
        <f>G257/E257*100</f>
        <v>2.573787752572732</v>
      </c>
    </row>
    <row r="258" spans="1:8" x14ac:dyDescent="0.45">
      <c r="A258" s="5" t="str">
        <f>'2_Cleaned_Data'!A255</f>
        <v>STR-1067</v>
      </c>
      <c r="B258" s="18">
        <f>'2_Cleaned_Data'!B255</f>
        <v>45658</v>
      </c>
      <c r="C258" s="5" t="str">
        <f>'2_Cleaned_Data'!C255</f>
        <v>East</v>
      </c>
      <c r="D258" s="5" t="str">
        <f>'2_Cleaned_Data'!D255</f>
        <v>High Street</v>
      </c>
      <c r="E258" s="12">
        <f>'2_Cleaned_Data'!M255</f>
        <v>708985.19</v>
      </c>
      <c r="F258" s="12">
        <f>'5_Multiple_Regression'!$B$324+'5_Multiple_Regression'!$B$325*'2_Cleaned_Data'!E255+'5_Multiple_Regression'!$B$326*'2_Cleaned_Data'!F255+'5_Multiple_Regression'!$B$327*'2_Cleaned_Data'!G255+'5_Multiple_Regression'!$B$328*'2_Cleaned_Data'!I255+'5_Multiple_Regression'!$B$329*IF('2_Cleaned_Data'!D255="Airport",1,0)+'5_Multiple_Regression'!$B$330*IF('2_Cleaned_Data'!D255="High Street",1,0)+'5_Multiple_Regression'!$B$331*IF('2_Cleaned_Data'!D255="Mall",1,0)</f>
        <v>732730.07528951659</v>
      </c>
      <c r="G258" s="12">
        <f>E258-F258</f>
        <v>-23744.885289516649</v>
      </c>
      <c r="H258" s="13">
        <f>G258/E258*100</f>
        <v>-3.3491369953040415</v>
      </c>
    </row>
    <row r="259" spans="1:8" x14ac:dyDescent="0.45">
      <c r="A259" s="5" t="str">
        <f>'2_Cleaned_Data'!A260</f>
        <v>STR-1068</v>
      </c>
      <c r="B259" s="18">
        <f>'2_Cleaned_Data'!B260</f>
        <v>45689</v>
      </c>
      <c r="C259" s="5" t="str">
        <f>'2_Cleaned_Data'!C260</f>
        <v>East</v>
      </c>
      <c r="D259" s="5" t="str">
        <f>'2_Cleaned_Data'!D260</f>
        <v>Mall</v>
      </c>
      <c r="E259" s="12">
        <f>'2_Cleaned_Data'!M260</f>
        <v>739374.56</v>
      </c>
      <c r="F259" s="12">
        <f>'5_Multiple_Regression'!$B$324+'5_Multiple_Regression'!$B$325*'2_Cleaned_Data'!E260+'5_Multiple_Regression'!$B$326*'2_Cleaned_Data'!F260+'5_Multiple_Regression'!$B$327*'2_Cleaned_Data'!G260+'5_Multiple_Regression'!$B$328*'2_Cleaned_Data'!I260+'5_Multiple_Regression'!$B$329*IF('2_Cleaned_Data'!D260="Airport",1,0)+'5_Multiple_Regression'!$B$330*IF('2_Cleaned_Data'!D260="High Street",1,0)+'5_Multiple_Regression'!$B$331*IF('2_Cleaned_Data'!D260="Mall",1,0)</f>
        <v>704994.82320537814</v>
      </c>
      <c r="G259" s="12">
        <f>E259-F259</f>
        <v>34379.736794621916</v>
      </c>
      <c r="H259" s="13">
        <f>G259/E259*100</f>
        <v>4.6498403724658735</v>
      </c>
    </row>
    <row r="260" spans="1:8" x14ac:dyDescent="0.45">
      <c r="A260" s="5" t="str">
        <f>'2_Cleaned_Data'!A261</f>
        <v>STR-1068</v>
      </c>
      <c r="B260" s="18">
        <f>'2_Cleaned_Data'!B261</f>
        <v>45717</v>
      </c>
      <c r="C260" s="5" t="str">
        <f>'2_Cleaned_Data'!C261</f>
        <v>East</v>
      </c>
      <c r="D260" s="5" t="str">
        <f>'2_Cleaned_Data'!D261</f>
        <v>Mall</v>
      </c>
      <c r="E260" s="12">
        <f>'2_Cleaned_Data'!M261</f>
        <v>799756.46</v>
      </c>
      <c r="F260" s="12">
        <f>'5_Multiple_Regression'!$B$324+'5_Multiple_Regression'!$B$325*'2_Cleaned_Data'!E261+'5_Multiple_Regression'!$B$326*'2_Cleaned_Data'!F261+'5_Multiple_Regression'!$B$327*'2_Cleaned_Data'!G261+'5_Multiple_Regression'!$B$328*'2_Cleaned_Data'!I261+'5_Multiple_Regression'!$B$329*IF('2_Cleaned_Data'!D261="Airport",1,0)+'5_Multiple_Regression'!$B$330*IF('2_Cleaned_Data'!D261="High Street",1,0)+'5_Multiple_Regression'!$B$331*IF('2_Cleaned_Data'!D261="Mall",1,0)</f>
        <v>815169.00693746633</v>
      </c>
      <c r="G260" s="12">
        <f>E260-F260</f>
        <v>-15412.546937466366</v>
      </c>
      <c r="H260" s="13">
        <f>G260/E260*100</f>
        <v>-1.9271550413567609</v>
      </c>
    </row>
    <row r="261" spans="1:8" x14ac:dyDescent="0.45">
      <c r="A261" s="5" t="str">
        <f>'2_Cleaned_Data'!A262</f>
        <v>STR-1068</v>
      </c>
      <c r="B261" s="18">
        <f>'2_Cleaned_Data'!B262</f>
        <v>45748</v>
      </c>
      <c r="C261" s="5" t="str">
        <f>'2_Cleaned_Data'!C262</f>
        <v>East</v>
      </c>
      <c r="D261" s="5" t="str">
        <f>'2_Cleaned_Data'!D262</f>
        <v>Mall</v>
      </c>
      <c r="E261" s="12">
        <f>'2_Cleaned_Data'!M262</f>
        <v>593343</v>
      </c>
      <c r="F261" s="12">
        <f>'5_Multiple_Regression'!$B$324+'5_Multiple_Regression'!$B$325*'2_Cleaned_Data'!E262+'5_Multiple_Regression'!$B$326*'2_Cleaned_Data'!F262+'5_Multiple_Regression'!$B$327*'2_Cleaned_Data'!G262+'5_Multiple_Regression'!$B$328*'2_Cleaned_Data'!I262+'5_Multiple_Regression'!$B$329*IF('2_Cleaned_Data'!D262="Airport",1,0)+'5_Multiple_Regression'!$B$330*IF('2_Cleaned_Data'!D262="High Street",1,0)+'5_Multiple_Regression'!$B$331*IF('2_Cleaned_Data'!D262="Mall",1,0)</f>
        <v>685669.64290958003</v>
      </c>
      <c r="G261" s="12">
        <f>E261-F261</f>
        <v>-92326.642909580027</v>
      </c>
      <c r="H261" s="13">
        <f>G261/E261*100</f>
        <v>-15.560416640894056</v>
      </c>
    </row>
    <row r="262" spans="1:8" x14ac:dyDescent="0.45">
      <c r="A262" s="5" t="str">
        <f>'2_Cleaned_Data'!A259</f>
        <v>STR-1068</v>
      </c>
      <c r="B262" s="18">
        <f>'2_Cleaned_Data'!B259</f>
        <v>45658</v>
      </c>
      <c r="C262" s="5" t="str">
        <f>'2_Cleaned_Data'!C259</f>
        <v>East</v>
      </c>
      <c r="D262" s="5" t="str">
        <f>'2_Cleaned_Data'!D259</f>
        <v>Mall</v>
      </c>
      <c r="E262" s="12">
        <f>'2_Cleaned_Data'!M259</f>
        <v>660633.99</v>
      </c>
      <c r="F262" s="12">
        <f>'5_Multiple_Regression'!$B$324+'5_Multiple_Regression'!$B$325*'2_Cleaned_Data'!E259+'5_Multiple_Regression'!$B$326*'2_Cleaned_Data'!F259+'5_Multiple_Regression'!$B$327*'2_Cleaned_Data'!G259+'5_Multiple_Regression'!$B$328*'2_Cleaned_Data'!I259+'5_Multiple_Regression'!$B$329*IF('2_Cleaned_Data'!D259="Airport",1,0)+'5_Multiple_Regression'!$B$330*IF('2_Cleaned_Data'!D259="High Street",1,0)+'5_Multiple_Regression'!$B$331*IF('2_Cleaned_Data'!D259="Mall",1,0)</f>
        <v>753415.95235509169</v>
      </c>
      <c r="G262" s="12">
        <f>E262-F262</f>
        <v>-92781.962355091702</v>
      </c>
      <c r="H262" s="13">
        <f>G262/E262*100</f>
        <v>-14.044382178260568</v>
      </c>
    </row>
    <row r="263" spans="1:8" x14ac:dyDescent="0.45">
      <c r="A263" s="5" t="str">
        <f>'2_Cleaned_Data'!A266</f>
        <v>STR-1069</v>
      </c>
      <c r="B263" s="18">
        <f>'2_Cleaned_Data'!B266</f>
        <v>45748</v>
      </c>
      <c r="C263" s="5" t="str">
        <f>'2_Cleaned_Data'!C266</f>
        <v>West</v>
      </c>
      <c r="D263" s="5" t="str">
        <f>'2_Cleaned_Data'!D266</f>
        <v>High Street</v>
      </c>
      <c r="E263" s="12">
        <f>'2_Cleaned_Data'!M266</f>
        <v>686737.87</v>
      </c>
      <c r="F263" s="12">
        <f>'5_Multiple_Regression'!$B$324+'5_Multiple_Regression'!$B$325*'2_Cleaned_Data'!E266+'5_Multiple_Regression'!$B$326*'2_Cleaned_Data'!F266+'5_Multiple_Regression'!$B$327*'2_Cleaned_Data'!G266+'5_Multiple_Regression'!$B$328*'2_Cleaned_Data'!I266+'5_Multiple_Regression'!$B$329*IF('2_Cleaned_Data'!D266="Airport",1,0)+'5_Multiple_Regression'!$B$330*IF('2_Cleaned_Data'!D266="High Street",1,0)+'5_Multiple_Regression'!$B$331*IF('2_Cleaned_Data'!D266="Mall",1,0)</f>
        <v>601024.08299667446</v>
      </c>
      <c r="G263" s="12">
        <f>E263-F263</f>
        <v>85713.787003325531</v>
      </c>
      <c r="H263" s="13">
        <f>G263/E263*100</f>
        <v>12.481296102590866</v>
      </c>
    </row>
    <row r="264" spans="1:8" x14ac:dyDescent="0.45">
      <c r="A264" s="5" t="str">
        <f>'2_Cleaned_Data'!A264</f>
        <v>STR-1069</v>
      </c>
      <c r="B264" s="18">
        <f>'2_Cleaned_Data'!B264</f>
        <v>45689</v>
      </c>
      <c r="C264" s="5" t="str">
        <f>'2_Cleaned_Data'!C264</f>
        <v>West</v>
      </c>
      <c r="D264" s="5" t="str">
        <f>'2_Cleaned_Data'!D264</f>
        <v>High Street</v>
      </c>
      <c r="E264" s="12">
        <f>'2_Cleaned_Data'!M264</f>
        <v>561597.32999999996</v>
      </c>
      <c r="F264" s="12">
        <f>'5_Multiple_Regression'!$B$324+'5_Multiple_Regression'!$B$325*'2_Cleaned_Data'!E264+'5_Multiple_Regression'!$B$326*'2_Cleaned_Data'!F264+'5_Multiple_Regression'!$B$327*'2_Cleaned_Data'!G264+'5_Multiple_Regression'!$B$328*'2_Cleaned_Data'!I264+'5_Multiple_Regression'!$B$329*IF('2_Cleaned_Data'!D264="Airport",1,0)+'5_Multiple_Regression'!$B$330*IF('2_Cleaned_Data'!D264="High Street",1,0)+'5_Multiple_Regression'!$B$331*IF('2_Cleaned_Data'!D264="Mall",1,0)</f>
        <v>525364.4752257982</v>
      </c>
      <c r="G264" s="12">
        <f>E264-F264</f>
        <v>36232.854774201754</v>
      </c>
      <c r="H264" s="13">
        <f>G264/E264*100</f>
        <v>6.4517498283337211</v>
      </c>
    </row>
    <row r="265" spans="1:8" x14ac:dyDescent="0.45">
      <c r="A265" s="5" t="str">
        <f>'2_Cleaned_Data'!A263</f>
        <v>STR-1069</v>
      </c>
      <c r="B265" s="18">
        <f>'2_Cleaned_Data'!B263</f>
        <v>45658</v>
      </c>
      <c r="C265" s="5" t="str">
        <f>'2_Cleaned_Data'!C263</f>
        <v>West</v>
      </c>
      <c r="D265" s="5" t="str">
        <f>'2_Cleaned_Data'!D263</f>
        <v>High Street</v>
      </c>
      <c r="E265" s="12">
        <f>'2_Cleaned_Data'!M263</f>
        <v>645039.97</v>
      </c>
      <c r="F265" s="12">
        <f>'5_Multiple_Regression'!$B$324+'5_Multiple_Regression'!$B$325*'2_Cleaned_Data'!E263+'5_Multiple_Regression'!$B$326*'2_Cleaned_Data'!F263+'5_Multiple_Regression'!$B$327*'2_Cleaned_Data'!G263+'5_Multiple_Regression'!$B$328*'2_Cleaned_Data'!I263+'5_Multiple_Regression'!$B$329*IF('2_Cleaned_Data'!D263="Airport",1,0)+'5_Multiple_Regression'!$B$330*IF('2_Cleaned_Data'!D263="High Street",1,0)+'5_Multiple_Regression'!$B$331*IF('2_Cleaned_Data'!D263="Mall",1,0)</f>
        <v>641410.62068783958</v>
      </c>
      <c r="G265" s="12">
        <f>E265-F265</f>
        <v>3629.3493121603969</v>
      </c>
      <c r="H265" s="13">
        <f>G265/E265*100</f>
        <v>0.56265494867866828</v>
      </c>
    </row>
    <row r="266" spans="1:8" x14ac:dyDescent="0.45">
      <c r="A266" s="5" t="str">
        <f>'2_Cleaned_Data'!A265</f>
        <v>STR-1069</v>
      </c>
      <c r="B266" s="18">
        <f>'2_Cleaned_Data'!B265</f>
        <v>45717</v>
      </c>
      <c r="C266" s="5" t="str">
        <f>'2_Cleaned_Data'!C265</f>
        <v>West</v>
      </c>
      <c r="D266" s="5" t="str">
        <f>'2_Cleaned_Data'!D265</f>
        <v>High Street</v>
      </c>
      <c r="E266" s="12">
        <f>'2_Cleaned_Data'!M265</f>
        <v>635837.74</v>
      </c>
      <c r="F266" s="12">
        <f>'5_Multiple_Regression'!$B$324+'5_Multiple_Regression'!$B$325*'2_Cleaned_Data'!E265+'5_Multiple_Regression'!$B$326*'2_Cleaned_Data'!F265+'5_Multiple_Regression'!$B$327*'2_Cleaned_Data'!G265+'5_Multiple_Regression'!$B$328*'2_Cleaned_Data'!I265+'5_Multiple_Regression'!$B$329*IF('2_Cleaned_Data'!D265="Airport",1,0)+'5_Multiple_Regression'!$B$330*IF('2_Cleaned_Data'!D265="High Street",1,0)+'5_Multiple_Regression'!$B$331*IF('2_Cleaned_Data'!D265="Mall",1,0)</f>
        <v>647781.97181673476</v>
      </c>
      <c r="G266" s="12">
        <f>E266-F266</f>
        <v>-11944.231816734769</v>
      </c>
      <c r="H266" s="13">
        <f>G266/E266*100</f>
        <v>-1.878503125142394</v>
      </c>
    </row>
    <row r="267" spans="1:8" x14ac:dyDescent="0.45">
      <c r="A267" s="5" t="str">
        <f>'2_Cleaned_Data'!A268</f>
        <v>STR-1070</v>
      </c>
      <c r="B267" s="18">
        <f>'2_Cleaned_Data'!B268</f>
        <v>45689</v>
      </c>
      <c r="C267" s="5" t="str">
        <f>'2_Cleaned_Data'!C268</f>
        <v>South</v>
      </c>
      <c r="D267" s="5" t="str">
        <f>'2_Cleaned_Data'!D268</f>
        <v>Residential</v>
      </c>
      <c r="E267" s="12">
        <f>'2_Cleaned_Data'!M268</f>
        <v>738548.42</v>
      </c>
      <c r="F267" s="12">
        <f>'5_Multiple_Regression'!$B$324+'5_Multiple_Regression'!$B$325*'2_Cleaned_Data'!E268+'5_Multiple_Regression'!$B$326*'2_Cleaned_Data'!F268+'5_Multiple_Regression'!$B$327*'2_Cleaned_Data'!G268+'5_Multiple_Regression'!$B$328*'2_Cleaned_Data'!I268+'5_Multiple_Regression'!$B$329*IF('2_Cleaned_Data'!D268="Airport",1,0)+'5_Multiple_Regression'!$B$330*IF('2_Cleaned_Data'!D268="High Street",1,0)+'5_Multiple_Regression'!$B$331*IF('2_Cleaned_Data'!D268="Mall",1,0)</f>
        <v>700365.62300061213</v>
      </c>
      <c r="G267" s="12">
        <f>E267-F267</f>
        <v>38182.796999387909</v>
      </c>
      <c r="H267" s="13">
        <f>G267/E267*100</f>
        <v>5.1699788348863986</v>
      </c>
    </row>
    <row r="268" spans="1:8" x14ac:dyDescent="0.45">
      <c r="A268" s="5" t="str">
        <f>'2_Cleaned_Data'!A269</f>
        <v>STR-1070</v>
      </c>
      <c r="B268" s="18">
        <f>'2_Cleaned_Data'!B269</f>
        <v>45717</v>
      </c>
      <c r="C268" s="5" t="str">
        <f>'2_Cleaned_Data'!C269</f>
        <v>South</v>
      </c>
      <c r="D268" s="5" t="str">
        <f>'2_Cleaned_Data'!D269</f>
        <v>Residential</v>
      </c>
      <c r="E268" s="12">
        <f>'2_Cleaned_Data'!M269</f>
        <v>756619.77</v>
      </c>
      <c r="F268" s="12">
        <f>'5_Multiple_Regression'!$B$324+'5_Multiple_Regression'!$B$325*'2_Cleaned_Data'!E269+'5_Multiple_Regression'!$B$326*'2_Cleaned_Data'!F269+'5_Multiple_Regression'!$B$327*'2_Cleaned_Data'!G269+'5_Multiple_Regression'!$B$328*'2_Cleaned_Data'!I269+'5_Multiple_Regression'!$B$329*IF('2_Cleaned_Data'!D269="Airport",1,0)+'5_Multiple_Regression'!$B$330*IF('2_Cleaned_Data'!D269="High Street",1,0)+'5_Multiple_Regression'!$B$331*IF('2_Cleaned_Data'!D269="Mall",1,0)</f>
        <v>740889.96304342744</v>
      </c>
      <c r="G268" s="12">
        <f>E268-F268</f>
        <v>15729.806956572575</v>
      </c>
      <c r="H268" s="13">
        <f>G268/E268*100</f>
        <v>2.0789579628050925</v>
      </c>
    </row>
    <row r="269" spans="1:8" x14ac:dyDescent="0.45">
      <c r="A269" s="5" t="str">
        <f>'2_Cleaned_Data'!A270</f>
        <v>STR-1070</v>
      </c>
      <c r="B269" s="18">
        <f>'2_Cleaned_Data'!B270</f>
        <v>45748</v>
      </c>
      <c r="C269" s="5" t="str">
        <f>'2_Cleaned_Data'!C270</f>
        <v>South</v>
      </c>
      <c r="D269" s="5" t="str">
        <f>'2_Cleaned_Data'!D270</f>
        <v>Residential</v>
      </c>
      <c r="E269" s="12">
        <f>'2_Cleaned_Data'!M270</f>
        <v>761122.42</v>
      </c>
      <c r="F269" s="12">
        <f>'5_Multiple_Regression'!$B$324+'5_Multiple_Regression'!$B$325*'2_Cleaned_Data'!E270+'5_Multiple_Regression'!$B$326*'2_Cleaned_Data'!F270+'5_Multiple_Regression'!$B$327*'2_Cleaned_Data'!G270+'5_Multiple_Regression'!$B$328*'2_Cleaned_Data'!I270+'5_Multiple_Regression'!$B$329*IF('2_Cleaned_Data'!D270="Airport",1,0)+'5_Multiple_Regression'!$B$330*IF('2_Cleaned_Data'!D270="High Street",1,0)+'5_Multiple_Regression'!$B$331*IF('2_Cleaned_Data'!D270="Mall",1,0)</f>
        <v>771437.24561019475</v>
      </c>
      <c r="G269" s="12">
        <f>E269-F269</f>
        <v>-10314.825610194704</v>
      </c>
      <c r="H269" s="13">
        <f>G269/E269*100</f>
        <v>-1.3552124256430003</v>
      </c>
    </row>
    <row r="270" spans="1:8" x14ac:dyDescent="0.45">
      <c r="A270" s="5" t="str">
        <f>'2_Cleaned_Data'!A267</f>
        <v>STR-1070</v>
      </c>
      <c r="B270" s="18">
        <f>'2_Cleaned_Data'!B267</f>
        <v>45658</v>
      </c>
      <c r="C270" s="5" t="str">
        <f>'2_Cleaned_Data'!C267</f>
        <v>South</v>
      </c>
      <c r="D270" s="5" t="str">
        <f>'2_Cleaned_Data'!D267</f>
        <v>Residential</v>
      </c>
      <c r="E270" s="12">
        <f>'2_Cleaned_Data'!M267</f>
        <v>673076.34</v>
      </c>
      <c r="F270" s="12">
        <f>'5_Multiple_Regression'!$B$324+'5_Multiple_Regression'!$B$325*'2_Cleaned_Data'!E267+'5_Multiple_Regression'!$B$326*'2_Cleaned_Data'!F267+'5_Multiple_Regression'!$B$327*'2_Cleaned_Data'!G267+'5_Multiple_Regression'!$B$328*'2_Cleaned_Data'!I267+'5_Multiple_Regression'!$B$329*IF('2_Cleaned_Data'!D267="Airport",1,0)+'5_Multiple_Regression'!$B$330*IF('2_Cleaned_Data'!D267="High Street",1,0)+'5_Multiple_Regression'!$B$331*IF('2_Cleaned_Data'!D267="Mall",1,0)</f>
        <v>737636.25720211875</v>
      </c>
      <c r="G270" s="12">
        <f>E270-F270</f>
        <v>-64559.917202118784</v>
      </c>
      <c r="H270" s="13">
        <f>G270/E270*100</f>
        <v>-9.591767436383039</v>
      </c>
    </row>
    <row r="271" spans="1:8" x14ac:dyDescent="0.45">
      <c r="A271" s="5" t="str">
        <f>'2_Cleaned_Data'!A273</f>
        <v>STR-1071</v>
      </c>
      <c r="B271" s="18">
        <f>'2_Cleaned_Data'!B273</f>
        <v>45717</v>
      </c>
      <c r="C271" s="5" t="str">
        <f>'2_Cleaned_Data'!C273</f>
        <v>South</v>
      </c>
      <c r="D271" s="5" t="str">
        <f>'2_Cleaned_Data'!D273</f>
        <v>High Street</v>
      </c>
      <c r="E271" s="12">
        <f>'2_Cleaned_Data'!M273</f>
        <v>714083.68</v>
      </c>
      <c r="F271" s="12">
        <f>'5_Multiple_Regression'!$B$324+'5_Multiple_Regression'!$B$325*'2_Cleaned_Data'!E273+'5_Multiple_Regression'!$B$326*'2_Cleaned_Data'!F273+'5_Multiple_Regression'!$B$327*'2_Cleaned_Data'!G273+'5_Multiple_Regression'!$B$328*'2_Cleaned_Data'!I273+'5_Multiple_Regression'!$B$329*IF('2_Cleaned_Data'!D273="Airport",1,0)+'5_Multiple_Regression'!$B$330*IF('2_Cleaned_Data'!D273="High Street",1,0)+'5_Multiple_Regression'!$B$331*IF('2_Cleaned_Data'!D273="Mall",1,0)</f>
        <v>689224.48063145939</v>
      </c>
      <c r="G271" s="12">
        <f>E271-F271</f>
        <v>24859.199368540663</v>
      </c>
      <c r="H271" s="13">
        <f>G271/E271*100</f>
        <v>3.4812725825831308</v>
      </c>
    </row>
    <row r="272" spans="1:8" x14ac:dyDescent="0.45">
      <c r="A272" s="5" t="str">
        <f>'2_Cleaned_Data'!A274</f>
        <v>STR-1071</v>
      </c>
      <c r="B272" s="18">
        <f>'2_Cleaned_Data'!B274</f>
        <v>45748</v>
      </c>
      <c r="C272" s="5" t="str">
        <f>'2_Cleaned_Data'!C274</f>
        <v>South</v>
      </c>
      <c r="D272" s="5" t="str">
        <f>'2_Cleaned_Data'!D274</f>
        <v>High Street</v>
      </c>
      <c r="E272" s="12">
        <f>'2_Cleaned_Data'!M274</f>
        <v>497439.82</v>
      </c>
      <c r="F272" s="12">
        <f>'5_Multiple_Regression'!$B$324+'5_Multiple_Regression'!$B$325*'2_Cleaned_Data'!E274+'5_Multiple_Regression'!$B$326*'2_Cleaned_Data'!F274+'5_Multiple_Regression'!$B$327*'2_Cleaned_Data'!G274+'5_Multiple_Regression'!$B$328*'2_Cleaned_Data'!I274+'5_Multiple_Regression'!$B$329*IF('2_Cleaned_Data'!D274="Airport",1,0)+'5_Multiple_Regression'!$B$330*IF('2_Cleaned_Data'!D274="High Street",1,0)+'5_Multiple_Regression'!$B$331*IF('2_Cleaned_Data'!D274="Mall",1,0)</f>
        <v>497843.92010521778</v>
      </c>
      <c r="G272" s="12">
        <f>E272-F272</f>
        <v>-404.1001052177744</v>
      </c>
      <c r="H272" s="13">
        <f>G272/E272*100</f>
        <v>-8.1235978498419043E-2</v>
      </c>
    </row>
    <row r="273" spans="1:8" x14ac:dyDescent="0.45">
      <c r="A273" s="5" t="str">
        <f>'2_Cleaned_Data'!A272</f>
        <v>STR-1071</v>
      </c>
      <c r="B273" s="18">
        <f>'2_Cleaned_Data'!B272</f>
        <v>45689</v>
      </c>
      <c r="C273" s="5" t="str">
        <f>'2_Cleaned_Data'!C272</f>
        <v>South</v>
      </c>
      <c r="D273" s="5" t="str">
        <f>'2_Cleaned_Data'!D272</f>
        <v>High Street</v>
      </c>
      <c r="E273" s="12">
        <f>'2_Cleaned_Data'!M272</f>
        <v>555557.77</v>
      </c>
      <c r="F273" s="12">
        <f>'5_Multiple_Regression'!$B$324+'5_Multiple_Regression'!$B$325*'2_Cleaned_Data'!E272+'5_Multiple_Regression'!$B$326*'2_Cleaned_Data'!F272+'5_Multiple_Regression'!$B$327*'2_Cleaned_Data'!G272+'5_Multiple_Regression'!$B$328*'2_Cleaned_Data'!I272+'5_Multiple_Regression'!$B$329*IF('2_Cleaned_Data'!D272="Airport",1,0)+'5_Multiple_Regression'!$B$330*IF('2_Cleaned_Data'!D272="High Street",1,0)+'5_Multiple_Regression'!$B$331*IF('2_Cleaned_Data'!D272="Mall",1,0)</f>
        <v>584825.52871016285</v>
      </c>
      <c r="G273" s="12">
        <f>E273-F273</f>
        <v>-29267.758710162831</v>
      </c>
      <c r="H273" s="13">
        <f>G273/E273*100</f>
        <v>-5.2681755688814915</v>
      </c>
    </row>
    <row r="274" spans="1:8" x14ac:dyDescent="0.45">
      <c r="A274" s="5" t="str">
        <f>'2_Cleaned_Data'!A271</f>
        <v>STR-1071</v>
      </c>
      <c r="B274" s="18">
        <f>'2_Cleaned_Data'!B271</f>
        <v>45658</v>
      </c>
      <c r="C274" s="5" t="str">
        <f>'2_Cleaned_Data'!C271</f>
        <v>South</v>
      </c>
      <c r="D274" s="5" t="str">
        <f>'2_Cleaned_Data'!D271</f>
        <v>High Street</v>
      </c>
      <c r="E274" s="12">
        <f>'2_Cleaned_Data'!M271</f>
        <v>524899.56999999995</v>
      </c>
      <c r="F274" s="12">
        <f>'5_Multiple_Regression'!$B$324+'5_Multiple_Regression'!$B$325*'2_Cleaned_Data'!E271+'5_Multiple_Regression'!$B$326*'2_Cleaned_Data'!F271+'5_Multiple_Regression'!$B$327*'2_Cleaned_Data'!G271+'5_Multiple_Regression'!$B$328*'2_Cleaned_Data'!I271+'5_Multiple_Regression'!$B$329*IF('2_Cleaned_Data'!D271="Airport",1,0)+'5_Multiple_Regression'!$B$330*IF('2_Cleaned_Data'!D271="High Street",1,0)+'5_Multiple_Regression'!$B$331*IF('2_Cleaned_Data'!D271="Mall",1,0)</f>
        <v>571804.51397681586</v>
      </c>
      <c r="G274" s="12">
        <f>E274-F274</f>
        <v>-46904.943976815906</v>
      </c>
      <c r="H274" s="13">
        <f>G274/E274*100</f>
        <v>-8.9359844544768663</v>
      </c>
    </row>
    <row r="275" spans="1:8" x14ac:dyDescent="0.45">
      <c r="A275" s="5" t="str">
        <f>'2_Cleaned_Data'!A277</f>
        <v>STR-1072</v>
      </c>
      <c r="B275" s="18">
        <f>'2_Cleaned_Data'!B277</f>
        <v>45717</v>
      </c>
      <c r="C275" s="5" t="str">
        <f>'2_Cleaned_Data'!C277</f>
        <v>West</v>
      </c>
      <c r="D275" s="5" t="str">
        <f>'2_Cleaned_Data'!D277</f>
        <v>Residential</v>
      </c>
      <c r="E275" s="12">
        <f>'2_Cleaned_Data'!M277</f>
        <v>609949</v>
      </c>
      <c r="F275" s="12">
        <f>'5_Multiple_Regression'!$B$324+'5_Multiple_Regression'!$B$325*'2_Cleaned_Data'!E277+'5_Multiple_Regression'!$B$326*'2_Cleaned_Data'!F277+'5_Multiple_Regression'!$B$327*'2_Cleaned_Data'!G277+'5_Multiple_Regression'!$B$328*'2_Cleaned_Data'!I277+'5_Multiple_Regression'!$B$329*IF('2_Cleaned_Data'!D277="Airport",1,0)+'5_Multiple_Regression'!$B$330*IF('2_Cleaned_Data'!D277="High Street",1,0)+'5_Multiple_Regression'!$B$331*IF('2_Cleaned_Data'!D277="Mall",1,0)</f>
        <v>592415.17462585331</v>
      </c>
      <c r="G275" s="12">
        <f>E275-F275</f>
        <v>17533.825374146691</v>
      </c>
      <c r="H275" s="13">
        <f>G275/E275*100</f>
        <v>2.8746379409010738</v>
      </c>
    </row>
    <row r="276" spans="1:8" x14ac:dyDescent="0.45">
      <c r="A276" s="5" t="str">
        <f>'2_Cleaned_Data'!A276</f>
        <v>STR-1072</v>
      </c>
      <c r="B276" s="18">
        <f>'2_Cleaned_Data'!B276</f>
        <v>45689</v>
      </c>
      <c r="C276" s="5" t="str">
        <f>'2_Cleaned_Data'!C276</f>
        <v>West</v>
      </c>
      <c r="D276" s="5" t="str">
        <f>'2_Cleaned_Data'!D276</f>
        <v>Residential</v>
      </c>
      <c r="E276" s="12">
        <f>'2_Cleaned_Data'!M276</f>
        <v>633009.53</v>
      </c>
      <c r="F276" s="12">
        <f>'5_Multiple_Regression'!$B$324+'5_Multiple_Regression'!$B$325*'2_Cleaned_Data'!E276+'5_Multiple_Regression'!$B$326*'2_Cleaned_Data'!F276+'5_Multiple_Regression'!$B$327*'2_Cleaned_Data'!G276+'5_Multiple_Regression'!$B$328*'2_Cleaned_Data'!I276+'5_Multiple_Regression'!$B$329*IF('2_Cleaned_Data'!D276="Airport",1,0)+'5_Multiple_Regression'!$B$330*IF('2_Cleaned_Data'!D276="High Street",1,0)+'5_Multiple_Regression'!$B$331*IF('2_Cleaned_Data'!D276="Mall",1,0)</f>
        <v>623381.04781998554</v>
      </c>
      <c r="G276" s="12">
        <f>E276-F276</f>
        <v>9628.4821800144855</v>
      </c>
      <c r="H276" s="13">
        <f>G276/E276*100</f>
        <v>1.521064332161711</v>
      </c>
    </row>
    <row r="277" spans="1:8" x14ac:dyDescent="0.45">
      <c r="A277" s="5" t="str">
        <f>'2_Cleaned_Data'!A278</f>
        <v>STR-1072</v>
      </c>
      <c r="B277" s="18">
        <f>'2_Cleaned_Data'!B278</f>
        <v>45748</v>
      </c>
      <c r="C277" s="5" t="str">
        <f>'2_Cleaned_Data'!C278</f>
        <v>West</v>
      </c>
      <c r="D277" s="5" t="str">
        <f>'2_Cleaned_Data'!D278</f>
        <v>Residential</v>
      </c>
      <c r="E277" s="12">
        <f>'2_Cleaned_Data'!M278</f>
        <v>548103.69999999995</v>
      </c>
      <c r="F277" s="12">
        <f>'5_Multiple_Regression'!$B$324+'5_Multiple_Regression'!$B$325*'2_Cleaned_Data'!E278+'5_Multiple_Regression'!$B$326*'2_Cleaned_Data'!F278+'5_Multiple_Regression'!$B$327*'2_Cleaned_Data'!G278+'5_Multiple_Regression'!$B$328*'2_Cleaned_Data'!I278+'5_Multiple_Regression'!$B$329*IF('2_Cleaned_Data'!D278="Airport",1,0)+'5_Multiple_Regression'!$B$330*IF('2_Cleaned_Data'!D278="High Street",1,0)+'5_Multiple_Regression'!$B$331*IF('2_Cleaned_Data'!D278="Mall",1,0)</f>
        <v>546722.00226627686</v>
      </c>
      <c r="G277" s="12">
        <f>E277-F277</f>
        <v>1381.6977337230928</v>
      </c>
      <c r="H277" s="13">
        <f>G277/E277*100</f>
        <v>0.25208691963274338</v>
      </c>
    </row>
    <row r="278" spans="1:8" x14ac:dyDescent="0.45">
      <c r="A278" s="5" t="str">
        <f>'2_Cleaned_Data'!A275</f>
        <v>STR-1072</v>
      </c>
      <c r="B278" s="18">
        <f>'2_Cleaned_Data'!B275</f>
        <v>45658</v>
      </c>
      <c r="C278" s="5" t="str">
        <f>'2_Cleaned_Data'!C275</f>
        <v>West</v>
      </c>
      <c r="D278" s="5" t="str">
        <f>'2_Cleaned_Data'!D275</f>
        <v>Residential</v>
      </c>
      <c r="E278" s="12">
        <f>'2_Cleaned_Data'!M275</f>
        <v>636775.66</v>
      </c>
      <c r="F278" s="12">
        <f>'5_Multiple_Regression'!$B$324+'5_Multiple_Regression'!$B$325*'2_Cleaned_Data'!E275+'5_Multiple_Regression'!$B$326*'2_Cleaned_Data'!F275+'5_Multiple_Regression'!$B$327*'2_Cleaned_Data'!G275+'5_Multiple_Regression'!$B$328*'2_Cleaned_Data'!I275+'5_Multiple_Regression'!$B$329*IF('2_Cleaned_Data'!D275="Airport",1,0)+'5_Multiple_Regression'!$B$330*IF('2_Cleaned_Data'!D275="High Street",1,0)+'5_Multiple_Regression'!$B$331*IF('2_Cleaned_Data'!D275="Mall",1,0)</f>
        <v>638263.59183913074</v>
      </c>
      <c r="G278" s="12">
        <f>E278-F278</f>
        <v>-1487.9318391307024</v>
      </c>
      <c r="H278" s="13">
        <f>G278/E278*100</f>
        <v>-0.23366656934260058</v>
      </c>
    </row>
    <row r="279" spans="1:8" x14ac:dyDescent="0.45">
      <c r="A279" s="5" t="str">
        <f>'2_Cleaned_Data'!A281</f>
        <v>STR-1073</v>
      </c>
      <c r="B279" s="18">
        <f>'2_Cleaned_Data'!B281</f>
        <v>45717</v>
      </c>
      <c r="C279" s="5" t="str">
        <f>'2_Cleaned_Data'!C281</f>
        <v>East</v>
      </c>
      <c r="D279" s="5" t="str">
        <f>'2_Cleaned_Data'!D281</f>
        <v>Residential</v>
      </c>
      <c r="E279" s="12">
        <f>'2_Cleaned_Data'!M281</f>
        <v>813316.71</v>
      </c>
      <c r="F279" s="12">
        <f>'5_Multiple_Regression'!$B$324+'5_Multiple_Regression'!$B$325*'2_Cleaned_Data'!E281+'5_Multiple_Regression'!$B$326*'2_Cleaned_Data'!F281+'5_Multiple_Regression'!$B$327*'2_Cleaned_Data'!G281+'5_Multiple_Regression'!$B$328*'2_Cleaned_Data'!I281+'5_Multiple_Regression'!$B$329*IF('2_Cleaned_Data'!D281="Airport",1,0)+'5_Multiple_Regression'!$B$330*IF('2_Cleaned_Data'!D281="High Street",1,0)+'5_Multiple_Regression'!$B$331*IF('2_Cleaned_Data'!D281="Mall",1,0)</f>
        <v>716285.36915543769</v>
      </c>
      <c r="G279" s="12">
        <f>E279-F279</f>
        <v>97031.340844562277</v>
      </c>
      <c r="H279" s="13">
        <f>G279/E279*100</f>
        <v>11.93032672900109</v>
      </c>
    </row>
    <row r="280" spans="1:8" x14ac:dyDescent="0.45">
      <c r="A280" s="5" t="str">
        <f>'2_Cleaned_Data'!A279</f>
        <v>STR-1073</v>
      </c>
      <c r="B280" s="18">
        <f>'2_Cleaned_Data'!B279</f>
        <v>45658</v>
      </c>
      <c r="C280" s="5" t="str">
        <f>'2_Cleaned_Data'!C279</f>
        <v>East</v>
      </c>
      <c r="D280" s="5" t="str">
        <f>'2_Cleaned_Data'!D279</f>
        <v>Residential</v>
      </c>
      <c r="E280" s="12">
        <f>'2_Cleaned_Data'!M279</f>
        <v>729424.42</v>
      </c>
      <c r="F280" s="12">
        <f>'5_Multiple_Regression'!$B$324+'5_Multiple_Regression'!$B$325*'2_Cleaned_Data'!E279+'5_Multiple_Regression'!$B$326*'2_Cleaned_Data'!F279+'5_Multiple_Regression'!$B$327*'2_Cleaned_Data'!G279+'5_Multiple_Regression'!$B$328*'2_Cleaned_Data'!I279+'5_Multiple_Regression'!$B$329*IF('2_Cleaned_Data'!D279="Airport",1,0)+'5_Multiple_Regression'!$B$330*IF('2_Cleaned_Data'!D279="High Street",1,0)+'5_Multiple_Regression'!$B$331*IF('2_Cleaned_Data'!D279="Mall",1,0)</f>
        <v>695897.08920224884</v>
      </c>
      <c r="G280" s="12">
        <f>E280-F280</f>
        <v>33527.330797751201</v>
      </c>
      <c r="H280" s="13">
        <f>G280/E280*100</f>
        <v>4.5964091519929102</v>
      </c>
    </row>
    <row r="281" spans="1:8" x14ac:dyDescent="0.45">
      <c r="A281" s="5" t="str">
        <f>'2_Cleaned_Data'!A282</f>
        <v>STR-1073</v>
      </c>
      <c r="B281" s="18">
        <f>'2_Cleaned_Data'!B282</f>
        <v>45748</v>
      </c>
      <c r="C281" s="5" t="str">
        <f>'2_Cleaned_Data'!C282</f>
        <v>East</v>
      </c>
      <c r="D281" s="5" t="str">
        <f>'2_Cleaned_Data'!D282</f>
        <v>Residential</v>
      </c>
      <c r="E281" s="12">
        <f>'2_Cleaned_Data'!M282</f>
        <v>702068.92</v>
      </c>
      <c r="F281" s="12">
        <f>'5_Multiple_Regression'!$B$324+'5_Multiple_Regression'!$B$325*'2_Cleaned_Data'!E282+'5_Multiple_Regression'!$B$326*'2_Cleaned_Data'!F282+'5_Multiple_Regression'!$B$327*'2_Cleaned_Data'!G282+'5_Multiple_Regression'!$B$328*'2_Cleaned_Data'!I282+'5_Multiple_Regression'!$B$329*IF('2_Cleaned_Data'!D282="Airport",1,0)+'5_Multiple_Regression'!$B$330*IF('2_Cleaned_Data'!D282="High Street",1,0)+'5_Multiple_Regression'!$B$331*IF('2_Cleaned_Data'!D282="Mall",1,0)</f>
        <v>712992.4224638209</v>
      </c>
      <c r="G281" s="12">
        <f>E281-F281</f>
        <v>-10923.502463820856</v>
      </c>
      <c r="H281" s="13">
        <f>G281/E281*100</f>
        <v>-1.5559017288246937</v>
      </c>
    </row>
    <row r="282" spans="1:8" x14ac:dyDescent="0.45">
      <c r="A282" s="5" t="str">
        <f>'2_Cleaned_Data'!A280</f>
        <v>STR-1073</v>
      </c>
      <c r="B282" s="18">
        <f>'2_Cleaned_Data'!B280</f>
        <v>45689</v>
      </c>
      <c r="C282" s="5" t="str">
        <f>'2_Cleaned_Data'!C280</f>
        <v>East</v>
      </c>
      <c r="D282" s="5" t="str">
        <f>'2_Cleaned_Data'!D280</f>
        <v>Residential</v>
      </c>
      <c r="E282" s="12">
        <f>'2_Cleaned_Data'!M280</f>
        <v>696261.49</v>
      </c>
      <c r="F282" s="12">
        <f>'5_Multiple_Regression'!$B$324+'5_Multiple_Regression'!$B$325*'2_Cleaned_Data'!E280+'5_Multiple_Regression'!$B$326*'2_Cleaned_Data'!F280+'5_Multiple_Regression'!$B$327*'2_Cleaned_Data'!G280+'5_Multiple_Regression'!$B$328*'2_Cleaned_Data'!I280+'5_Multiple_Regression'!$B$329*IF('2_Cleaned_Data'!D280="Airport",1,0)+'5_Multiple_Regression'!$B$330*IF('2_Cleaned_Data'!D280="High Street",1,0)+'5_Multiple_Regression'!$B$331*IF('2_Cleaned_Data'!D280="Mall",1,0)</f>
        <v>716312.77691430098</v>
      </c>
      <c r="G282" s="12">
        <f>E282-F282</f>
        <v>-20051.286914300988</v>
      </c>
      <c r="H282" s="13">
        <f>G282/E282*100</f>
        <v>-2.8798500566649161</v>
      </c>
    </row>
    <row r="283" spans="1:8" x14ac:dyDescent="0.45">
      <c r="A283" s="5" t="str">
        <f>'2_Cleaned_Data'!A286</f>
        <v>STR-1074</v>
      </c>
      <c r="B283" s="18">
        <f>'2_Cleaned_Data'!B286</f>
        <v>45748</v>
      </c>
      <c r="C283" s="5" t="str">
        <f>'2_Cleaned_Data'!C286</f>
        <v>West</v>
      </c>
      <c r="D283" s="5" t="str">
        <f>'2_Cleaned_Data'!D286</f>
        <v>High Street</v>
      </c>
      <c r="E283" s="12">
        <f>'2_Cleaned_Data'!M286</f>
        <v>487738.26</v>
      </c>
      <c r="F283" s="12">
        <f>'5_Multiple_Regression'!$B$324+'5_Multiple_Regression'!$B$325*'2_Cleaned_Data'!E286+'5_Multiple_Regression'!$B$326*'2_Cleaned_Data'!F286+'5_Multiple_Regression'!$B$327*'2_Cleaned_Data'!G286+'5_Multiple_Regression'!$B$328*'2_Cleaned_Data'!I286+'5_Multiple_Regression'!$B$329*IF('2_Cleaned_Data'!D286="Airport",1,0)+'5_Multiple_Regression'!$B$330*IF('2_Cleaned_Data'!D286="High Street",1,0)+'5_Multiple_Regression'!$B$331*IF('2_Cleaned_Data'!D286="Mall",1,0)</f>
        <v>461902.63312603114</v>
      </c>
      <c r="G283" s="12">
        <f>E283-F283</f>
        <v>25835.626873968868</v>
      </c>
      <c r="H283" s="13">
        <f>G283/E283*100</f>
        <v>5.2970269082373944</v>
      </c>
    </row>
    <row r="284" spans="1:8" x14ac:dyDescent="0.45">
      <c r="A284" s="5" t="str">
        <f>'2_Cleaned_Data'!A284</f>
        <v>STR-1074</v>
      </c>
      <c r="B284" s="18">
        <f>'2_Cleaned_Data'!B284</f>
        <v>45689</v>
      </c>
      <c r="C284" s="5" t="str">
        <f>'2_Cleaned_Data'!C284</f>
        <v>West</v>
      </c>
      <c r="D284" s="5" t="str">
        <f>'2_Cleaned_Data'!D284</f>
        <v>High Street</v>
      </c>
      <c r="E284" s="12">
        <f>'2_Cleaned_Data'!M284</f>
        <v>533121.26</v>
      </c>
      <c r="F284" s="12">
        <f>'5_Multiple_Regression'!$B$324+'5_Multiple_Regression'!$B$325*'2_Cleaned_Data'!E284+'5_Multiple_Regression'!$B$326*'2_Cleaned_Data'!F284+'5_Multiple_Regression'!$B$327*'2_Cleaned_Data'!G284+'5_Multiple_Regression'!$B$328*'2_Cleaned_Data'!I284+'5_Multiple_Regression'!$B$329*IF('2_Cleaned_Data'!D284="Airport",1,0)+'5_Multiple_Regression'!$B$330*IF('2_Cleaned_Data'!D284="High Street",1,0)+'5_Multiple_Regression'!$B$331*IF('2_Cleaned_Data'!D284="Mall",1,0)</f>
        <v>522528.84272827796</v>
      </c>
      <c r="G284" s="12">
        <f>E284-F284</f>
        <v>10592.41727172205</v>
      </c>
      <c r="H284" s="13">
        <f>G284/E284*100</f>
        <v>1.9868682917882601</v>
      </c>
    </row>
    <row r="285" spans="1:8" x14ac:dyDescent="0.45">
      <c r="A285" s="5" t="str">
        <f>'2_Cleaned_Data'!A285</f>
        <v>STR-1074</v>
      </c>
      <c r="B285" s="18">
        <f>'2_Cleaned_Data'!B285</f>
        <v>45717</v>
      </c>
      <c r="C285" s="5" t="str">
        <f>'2_Cleaned_Data'!C285</f>
        <v>West</v>
      </c>
      <c r="D285" s="5" t="str">
        <f>'2_Cleaned_Data'!D285</f>
        <v>High Street</v>
      </c>
      <c r="E285" s="12">
        <f>'2_Cleaned_Data'!M285</f>
        <v>498970.32</v>
      </c>
      <c r="F285" s="12">
        <f>'5_Multiple_Regression'!$B$324+'5_Multiple_Regression'!$B$325*'2_Cleaned_Data'!E285+'5_Multiple_Regression'!$B$326*'2_Cleaned_Data'!F285+'5_Multiple_Regression'!$B$327*'2_Cleaned_Data'!G285+'5_Multiple_Regression'!$B$328*'2_Cleaned_Data'!I285+'5_Multiple_Regression'!$B$329*IF('2_Cleaned_Data'!D285="Airport",1,0)+'5_Multiple_Regression'!$B$330*IF('2_Cleaned_Data'!D285="High Street",1,0)+'5_Multiple_Regression'!$B$331*IF('2_Cleaned_Data'!D285="Mall",1,0)</f>
        <v>491463.27348161762</v>
      </c>
      <c r="G285" s="12">
        <f>E285-F285</f>
        <v>7507.0465183823835</v>
      </c>
      <c r="H285" s="13">
        <f>G285/E285*100</f>
        <v>1.5045076265021904</v>
      </c>
    </row>
    <row r="286" spans="1:8" x14ac:dyDescent="0.45">
      <c r="A286" s="5" t="str">
        <f>'2_Cleaned_Data'!A283</f>
        <v>STR-1074</v>
      </c>
      <c r="B286" s="18">
        <f>'2_Cleaned_Data'!B283</f>
        <v>45658</v>
      </c>
      <c r="C286" s="5" t="str">
        <f>'2_Cleaned_Data'!C283</f>
        <v>West</v>
      </c>
      <c r="D286" s="5" t="str">
        <f>'2_Cleaned_Data'!D283</f>
        <v>High Street</v>
      </c>
      <c r="E286" s="12">
        <f>'2_Cleaned_Data'!M283</f>
        <v>546223.69999999995</v>
      </c>
      <c r="F286" s="12">
        <f>'5_Multiple_Regression'!$B$324+'5_Multiple_Regression'!$B$325*'2_Cleaned_Data'!E283+'5_Multiple_Regression'!$B$326*'2_Cleaned_Data'!F283+'5_Multiple_Regression'!$B$327*'2_Cleaned_Data'!G283+'5_Multiple_Regression'!$B$328*'2_Cleaned_Data'!I283+'5_Multiple_Regression'!$B$329*IF('2_Cleaned_Data'!D283="Airport",1,0)+'5_Multiple_Regression'!$B$330*IF('2_Cleaned_Data'!D283="High Street",1,0)+'5_Multiple_Regression'!$B$331*IF('2_Cleaned_Data'!D283="Mall",1,0)</f>
        <v>581525.7705891456</v>
      </c>
      <c r="G286" s="12">
        <f>E286-F286</f>
        <v>-35302.070589145645</v>
      </c>
      <c r="H286" s="13">
        <f>G286/E286*100</f>
        <v>-6.4629327854404064</v>
      </c>
    </row>
    <row r="287" spans="1:8" x14ac:dyDescent="0.45">
      <c r="A287" s="5" t="str">
        <f>'2_Cleaned_Data'!A288</f>
        <v>STR-1075</v>
      </c>
      <c r="B287" s="18">
        <f>'2_Cleaned_Data'!B288</f>
        <v>45689</v>
      </c>
      <c r="C287" s="5" t="str">
        <f>'2_Cleaned_Data'!C288</f>
        <v>West</v>
      </c>
      <c r="D287" s="5" t="str">
        <f>'2_Cleaned_Data'!D288</f>
        <v>High Street</v>
      </c>
      <c r="E287" s="12">
        <f>'2_Cleaned_Data'!M288</f>
        <v>763162.45</v>
      </c>
      <c r="F287" s="12">
        <f>'5_Multiple_Regression'!$B$324+'5_Multiple_Regression'!$B$325*'2_Cleaned_Data'!E288+'5_Multiple_Regression'!$B$326*'2_Cleaned_Data'!F288+'5_Multiple_Regression'!$B$327*'2_Cleaned_Data'!G288+'5_Multiple_Regression'!$B$328*'2_Cleaned_Data'!I288+'5_Multiple_Regression'!$B$329*IF('2_Cleaned_Data'!D288="Airport",1,0)+'5_Multiple_Regression'!$B$330*IF('2_Cleaned_Data'!D288="High Street",1,0)+'5_Multiple_Regression'!$B$331*IF('2_Cleaned_Data'!D288="Mall",1,0)</f>
        <v>681608.81999623752</v>
      </c>
      <c r="G287" s="12">
        <f>E287-F287</f>
        <v>81553.630003762431</v>
      </c>
      <c r="H287" s="13">
        <f>G287/E287*100</f>
        <v>10.686273938630292</v>
      </c>
    </row>
    <row r="288" spans="1:8" x14ac:dyDescent="0.45">
      <c r="A288" s="5" t="str">
        <f>'2_Cleaned_Data'!A287</f>
        <v>STR-1075</v>
      </c>
      <c r="B288" s="18">
        <f>'2_Cleaned_Data'!B287</f>
        <v>45658</v>
      </c>
      <c r="C288" s="5" t="str">
        <f>'2_Cleaned_Data'!C287</f>
        <v>West</v>
      </c>
      <c r="D288" s="5" t="str">
        <f>'2_Cleaned_Data'!D287</f>
        <v>High Street</v>
      </c>
      <c r="E288" s="12">
        <f>'2_Cleaned_Data'!M287</f>
        <v>668459.37</v>
      </c>
      <c r="F288" s="12">
        <f>'5_Multiple_Regression'!$B$324+'5_Multiple_Regression'!$B$325*'2_Cleaned_Data'!E287+'5_Multiple_Regression'!$B$326*'2_Cleaned_Data'!F287+'5_Multiple_Regression'!$B$327*'2_Cleaned_Data'!G287+'5_Multiple_Regression'!$B$328*'2_Cleaned_Data'!I287+'5_Multiple_Regression'!$B$329*IF('2_Cleaned_Data'!D287="Airport",1,0)+'5_Multiple_Regression'!$B$330*IF('2_Cleaned_Data'!D287="High Street",1,0)+'5_Multiple_Regression'!$B$331*IF('2_Cleaned_Data'!D287="Mall",1,0)</f>
        <v>676291.91842128499</v>
      </c>
      <c r="G288" s="12">
        <f>E288-F288</f>
        <v>-7832.5484212849988</v>
      </c>
      <c r="H288" s="13">
        <f>G288/E288*100</f>
        <v>-1.1717314129780241</v>
      </c>
    </row>
    <row r="289" spans="1:8" x14ac:dyDescent="0.45">
      <c r="A289" s="5" t="str">
        <f>'2_Cleaned_Data'!A289</f>
        <v>STR-1075</v>
      </c>
      <c r="B289" s="18">
        <f>'2_Cleaned_Data'!B289</f>
        <v>45717</v>
      </c>
      <c r="C289" s="5" t="str">
        <f>'2_Cleaned_Data'!C289</f>
        <v>West</v>
      </c>
      <c r="D289" s="5" t="str">
        <f>'2_Cleaned_Data'!D289</f>
        <v>High Street</v>
      </c>
      <c r="E289" s="12">
        <f>'2_Cleaned_Data'!M289</f>
        <v>599017.32999999996</v>
      </c>
      <c r="F289" s="12">
        <f>'5_Multiple_Regression'!$B$324+'5_Multiple_Regression'!$B$325*'2_Cleaned_Data'!E289+'5_Multiple_Regression'!$B$326*'2_Cleaned_Data'!F289+'5_Multiple_Regression'!$B$327*'2_Cleaned_Data'!G289+'5_Multiple_Regression'!$B$328*'2_Cleaned_Data'!I289+'5_Multiple_Regression'!$B$329*IF('2_Cleaned_Data'!D289="Airport",1,0)+'5_Multiple_Regression'!$B$330*IF('2_Cleaned_Data'!D289="High Street",1,0)+'5_Multiple_Regression'!$B$331*IF('2_Cleaned_Data'!D289="Mall",1,0)</f>
        <v>623678.6635733681</v>
      </c>
      <c r="G289" s="12">
        <f>E289-F289</f>
        <v>-24661.333573368145</v>
      </c>
      <c r="H289" s="13">
        <f>G289/E289*100</f>
        <v>-4.1169649588214998</v>
      </c>
    </row>
    <row r="290" spans="1:8" x14ac:dyDescent="0.45">
      <c r="A290" s="5" t="str">
        <f>'2_Cleaned_Data'!A290</f>
        <v>STR-1075</v>
      </c>
      <c r="B290" s="18">
        <f>'2_Cleaned_Data'!B290</f>
        <v>45748</v>
      </c>
      <c r="C290" s="5" t="str">
        <f>'2_Cleaned_Data'!C290</f>
        <v>West</v>
      </c>
      <c r="D290" s="5" t="str">
        <f>'2_Cleaned_Data'!D290</f>
        <v>High Street</v>
      </c>
      <c r="E290" s="12">
        <f>'2_Cleaned_Data'!M290</f>
        <v>401582.58</v>
      </c>
      <c r="F290" s="12">
        <f>'5_Multiple_Regression'!$B$324+'5_Multiple_Regression'!$B$325*'2_Cleaned_Data'!E290+'5_Multiple_Regression'!$B$326*'2_Cleaned_Data'!F290+'5_Multiple_Regression'!$B$327*'2_Cleaned_Data'!G290+'5_Multiple_Regression'!$B$328*'2_Cleaned_Data'!I290+'5_Multiple_Regression'!$B$329*IF('2_Cleaned_Data'!D290="Airport",1,0)+'5_Multiple_Regression'!$B$330*IF('2_Cleaned_Data'!D290="High Street",1,0)+'5_Multiple_Regression'!$B$331*IF('2_Cleaned_Data'!D290="Mall",1,0)</f>
        <v>475939.16458057961</v>
      </c>
      <c r="G290" s="12">
        <f>E290-F290</f>
        <v>-74356.584580579598</v>
      </c>
      <c r="H290" s="13">
        <f>G290/E290*100</f>
        <v>-18.51588895628381</v>
      </c>
    </row>
    <row r="291" spans="1:8" x14ac:dyDescent="0.45">
      <c r="A291" s="5" t="str">
        <f>'2_Cleaned_Data'!A294</f>
        <v>STR-1076</v>
      </c>
      <c r="B291" s="18">
        <f>'2_Cleaned_Data'!B294</f>
        <v>45748</v>
      </c>
      <c r="C291" s="5" t="str">
        <f>'2_Cleaned_Data'!C294</f>
        <v>North</v>
      </c>
      <c r="D291" s="5" t="str">
        <f>'2_Cleaned_Data'!D294</f>
        <v>Mall</v>
      </c>
      <c r="E291" s="12">
        <f>'2_Cleaned_Data'!M294</f>
        <v>780580.95</v>
      </c>
      <c r="F291" s="12">
        <f>'5_Multiple_Regression'!$B$324+'5_Multiple_Regression'!$B$325*'2_Cleaned_Data'!E294+'5_Multiple_Regression'!$B$326*'2_Cleaned_Data'!F294+'5_Multiple_Regression'!$B$327*'2_Cleaned_Data'!G294+'5_Multiple_Regression'!$B$328*'2_Cleaned_Data'!I294+'5_Multiple_Regression'!$B$329*IF('2_Cleaned_Data'!D294="Airport",1,0)+'5_Multiple_Regression'!$B$330*IF('2_Cleaned_Data'!D294="High Street",1,0)+'5_Multiple_Regression'!$B$331*IF('2_Cleaned_Data'!D294="Mall",1,0)</f>
        <v>728066.83015402069</v>
      </c>
      <c r="G291" s="12">
        <f>E291-F291</f>
        <v>52514.119845979265</v>
      </c>
      <c r="H291" s="13">
        <f>G291/E291*100</f>
        <v>6.7275687224981935</v>
      </c>
    </row>
    <row r="292" spans="1:8" x14ac:dyDescent="0.45">
      <c r="A292" s="5" t="str">
        <f>'2_Cleaned_Data'!A293</f>
        <v>STR-1076</v>
      </c>
      <c r="B292" s="18">
        <f>'2_Cleaned_Data'!B293</f>
        <v>45717</v>
      </c>
      <c r="C292" s="5" t="str">
        <f>'2_Cleaned_Data'!C293</f>
        <v>North</v>
      </c>
      <c r="D292" s="5" t="str">
        <f>'2_Cleaned_Data'!D293</f>
        <v>Mall</v>
      </c>
      <c r="E292" s="12">
        <f>'2_Cleaned_Data'!M293</f>
        <v>730890.01</v>
      </c>
      <c r="F292" s="12">
        <f>'5_Multiple_Regression'!$B$324+'5_Multiple_Regression'!$B$325*'2_Cleaned_Data'!E293+'5_Multiple_Regression'!$B$326*'2_Cleaned_Data'!F293+'5_Multiple_Regression'!$B$327*'2_Cleaned_Data'!G293+'5_Multiple_Regression'!$B$328*'2_Cleaned_Data'!I293+'5_Multiple_Regression'!$B$329*IF('2_Cleaned_Data'!D293="Airport",1,0)+'5_Multiple_Regression'!$B$330*IF('2_Cleaned_Data'!D293="High Street",1,0)+'5_Multiple_Regression'!$B$331*IF('2_Cleaned_Data'!D293="Mall",1,0)</f>
        <v>742247.70893739571</v>
      </c>
      <c r="G292" s="12">
        <f>E292-F292</f>
        <v>-11357.698937395704</v>
      </c>
      <c r="H292" s="13">
        <f>G292/E292*100</f>
        <v>-1.5539546008291594</v>
      </c>
    </row>
    <row r="293" spans="1:8" x14ac:dyDescent="0.45">
      <c r="A293" s="5" t="str">
        <f>'2_Cleaned_Data'!A292</f>
        <v>STR-1076</v>
      </c>
      <c r="B293" s="18">
        <f>'2_Cleaned_Data'!B292</f>
        <v>45689</v>
      </c>
      <c r="C293" s="5" t="str">
        <f>'2_Cleaned_Data'!C292</f>
        <v>North</v>
      </c>
      <c r="D293" s="5" t="str">
        <f>'2_Cleaned_Data'!D292</f>
        <v>Mall</v>
      </c>
      <c r="E293" s="12">
        <f>'2_Cleaned_Data'!M292</f>
        <v>724346.73</v>
      </c>
      <c r="F293" s="12">
        <f>'5_Multiple_Regression'!$B$324+'5_Multiple_Regression'!$B$325*'2_Cleaned_Data'!E292+'5_Multiple_Regression'!$B$326*'2_Cleaned_Data'!F292+'5_Multiple_Regression'!$B$327*'2_Cleaned_Data'!G292+'5_Multiple_Regression'!$B$328*'2_Cleaned_Data'!I292+'5_Multiple_Regression'!$B$329*IF('2_Cleaned_Data'!D292="Airport",1,0)+'5_Multiple_Regression'!$B$330*IF('2_Cleaned_Data'!D292="High Street",1,0)+'5_Multiple_Regression'!$B$331*IF('2_Cleaned_Data'!D292="Mall",1,0)</f>
        <v>737941.99441227317</v>
      </c>
      <c r="G293" s="12">
        <f>E293-F293</f>
        <v>-13595.264412273187</v>
      </c>
      <c r="H293" s="13">
        <f>G293/E293*100</f>
        <v>-1.8769000879279443</v>
      </c>
    </row>
    <row r="294" spans="1:8" x14ac:dyDescent="0.45">
      <c r="A294" s="5" t="str">
        <f>'2_Cleaned_Data'!A291</f>
        <v>STR-1076</v>
      </c>
      <c r="B294" s="18">
        <f>'2_Cleaned_Data'!B291</f>
        <v>45658</v>
      </c>
      <c r="C294" s="5" t="str">
        <f>'2_Cleaned_Data'!C291</f>
        <v>North</v>
      </c>
      <c r="D294" s="5" t="str">
        <f>'2_Cleaned_Data'!D291</f>
        <v>Mall</v>
      </c>
      <c r="E294" s="12">
        <f>'2_Cleaned_Data'!M291</f>
        <v>703812.99</v>
      </c>
      <c r="F294" s="12">
        <f>'5_Multiple_Regression'!$B$324+'5_Multiple_Regression'!$B$325*'2_Cleaned_Data'!E291+'5_Multiple_Regression'!$B$326*'2_Cleaned_Data'!F291+'5_Multiple_Regression'!$B$327*'2_Cleaned_Data'!G291+'5_Multiple_Regression'!$B$328*'2_Cleaned_Data'!I291+'5_Multiple_Regression'!$B$329*IF('2_Cleaned_Data'!D291="Airport",1,0)+'5_Multiple_Regression'!$B$330*IF('2_Cleaned_Data'!D291="High Street",1,0)+'5_Multiple_Regression'!$B$331*IF('2_Cleaned_Data'!D291="Mall",1,0)</f>
        <v>729926.18395466183</v>
      </c>
      <c r="G294" s="12">
        <f>E294-F294</f>
        <v>-26113.193954661838</v>
      </c>
      <c r="H294" s="13">
        <f>G294/E294*100</f>
        <v>-3.7102460917440356</v>
      </c>
    </row>
    <row r="295" spans="1:8" x14ac:dyDescent="0.45">
      <c r="A295" s="5" t="str">
        <f>'2_Cleaned_Data'!A297</f>
        <v>STR-1077</v>
      </c>
      <c r="B295" s="18">
        <f>'2_Cleaned_Data'!B297</f>
        <v>45717</v>
      </c>
      <c r="C295" s="5" t="str">
        <f>'2_Cleaned_Data'!C297</f>
        <v>South</v>
      </c>
      <c r="D295" s="5" t="str">
        <f>'2_Cleaned_Data'!D297</f>
        <v>Residential</v>
      </c>
      <c r="E295" s="12">
        <f>'2_Cleaned_Data'!M297</f>
        <v>665342.49</v>
      </c>
      <c r="F295" s="12">
        <f>'5_Multiple_Regression'!$B$324+'5_Multiple_Regression'!$B$325*'2_Cleaned_Data'!E297+'5_Multiple_Regression'!$B$326*'2_Cleaned_Data'!F297+'5_Multiple_Regression'!$B$327*'2_Cleaned_Data'!G297+'5_Multiple_Regression'!$B$328*'2_Cleaned_Data'!I297+'5_Multiple_Regression'!$B$329*IF('2_Cleaned_Data'!D297="Airport",1,0)+'5_Multiple_Regression'!$B$330*IF('2_Cleaned_Data'!D297="High Street",1,0)+'5_Multiple_Regression'!$B$331*IF('2_Cleaned_Data'!D297="Mall",1,0)</f>
        <v>610737.23864119477</v>
      </c>
      <c r="G295" s="12">
        <f>E295-F295</f>
        <v>54605.251358805224</v>
      </c>
      <c r="H295" s="13">
        <f>G295/E295*100</f>
        <v>8.2070891577667346</v>
      </c>
    </row>
    <row r="296" spans="1:8" x14ac:dyDescent="0.45">
      <c r="A296" s="5" t="str">
        <f>'2_Cleaned_Data'!A295</f>
        <v>STR-1077</v>
      </c>
      <c r="B296" s="18">
        <f>'2_Cleaned_Data'!B295</f>
        <v>45658</v>
      </c>
      <c r="C296" s="5" t="str">
        <f>'2_Cleaned_Data'!C295</f>
        <v>South</v>
      </c>
      <c r="D296" s="5" t="str">
        <f>'2_Cleaned_Data'!D295</f>
        <v>Residential</v>
      </c>
      <c r="E296" s="12">
        <f>'2_Cleaned_Data'!M295</f>
        <v>727957.48</v>
      </c>
      <c r="F296" s="12">
        <f>'5_Multiple_Regression'!$B$324+'5_Multiple_Regression'!$B$325*'2_Cleaned_Data'!E295+'5_Multiple_Regression'!$B$326*'2_Cleaned_Data'!F295+'5_Multiple_Regression'!$B$327*'2_Cleaned_Data'!G295+'5_Multiple_Regression'!$B$328*'2_Cleaned_Data'!I295+'5_Multiple_Regression'!$B$329*IF('2_Cleaned_Data'!D295="Airport",1,0)+'5_Multiple_Regression'!$B$330*IF('2_Cleaned_Data'!D295="High Street",1,0)+'5_Multiple_Regression'!$B$331*IF('2_Cleaned_Data'!D295="Mall",1,0)</f>
        <v>678694.957814425</v>
      </c>
      <c r="G296" s="12">
        <f>E296-F296</f>
        <v>49262.522185574984</v>
      </c>
      <c r="H296" s="13">
        <f>G296/E296*100</f>
        <v>6.7672252211179948</v>
      </c>
    </row>
    <row r="297" spans="1:8" x14ac:dyDescent="0.45">
      <c r="A297" s="5" t="str">
        <f>'2_Cleaned_Data'!A298</f>
        <v>STR-1077</v>
      </c>
      <c r="B297" s="18">
        <f>'2_Cleaned_Data'!B298</f>
        <v>45748</v>
      </c>
      <c r="C297" s="5" t="str">
        <f>'2_Cleaned_Data'!C298</f>
        <v>South</v>
      </c>
      <c r="D297" s="5" t="str">
        <f>'2_Cleaned_Data'!D298</f>
        <v>Residential</v>
      </c>
      <c r="E297" s="12">
        <f>'2_Cleaned_Data'!M298</f>
        <v>651164.18000000005</v>
      </c>
      <c r="F297" s="12">
        <f>'5_Multiple_Regression'!$B$324+'5_Multiple_Regression'!$B$325*'2_Cleaned_Data'!E298+'5_Multiple_Regression'!$B$326*'2_Cleaned_Data'!F298+'5_Multiple_Regression'!$B$327*'2_Cleaned_Data'!G298+'5_Multiple_Regression'!$B$328*'2_Cleaned_Data'!I298+'5_Multiple_Regression'!$B$329*IF('2_Cleaned_Data'!D298="Airport",1,0)+'5_Multiple_Regression'!$B$330*IF('2_Cleaned_Data'!D298="High Street",1,0)+'5_Multiple_Regression'!$B$331*IF('2_Cleaned_Data'!D298="Mall",1,0)</f>
        <v>699310.61826884048</v>
      </c>
      <c r="G297" s="12">
        <f>E297-F297</f>
        <v>-48146.438268840429</v>
      </c>
      <c r="H297" s="13">
        <f>G297/E297*100</f>
        <v>-7.3939015301548725</v>
      </c>
    </row>
    <row r="298" spans="1:8" x14ac:dyDescent="0.45">
      <c r="A298" s="5" t="str">
        <f>'2_Cleaned_Data'!A296</f>
        <v>STR-1077</v>
      </c>
      <c r="B298" s="18">
        <f>'2_Cleaned_Data'!B296</f>
        <v>45689</v>
      </c>
      <c r="C298" s="5" t="str">
        <f>'2_Cleaned_Data'!C296</f>
        <v>South</v>
      </c>
      <c r="D298" s="5" t="str">
        <f>'2_Cleaned_Data'!D296</f>
        <v>Residential</v>
      </c>
      <c r="E298" s="12">
        <f>'2_Cleaned_Data'!M296</f>
        <v>538376</v>
      </c>
      <c r="F298" s="12">
        <f>'5_Multiple_Regression'!$B$324+'5_Multiple_Regression'!$B$325*'2_Cleaned_Data'!E296+'5_Multiple_Regression'!$B$326*'2_Cleaned_Data'!F296+'5_Multiple_Regression'!$B$327*'2_Cleaned_Data'!G296+'5_Multiple_Regression'!$B$328*'2_Cleaned_Data'!I296+'5_Multiple_Regression'!$B$329*IF('2_Cleaned_Data'!D296="Airport",1,0)+'5_Multiple_Regression'!$B$330*IF('2_Cleaned_Data'!D296="High Street",1,0)+'5_Multiple_Regression'!$B$331*IF('2_Cleaned_Data'!D296="Mall",1,0)</f>
        <v>629753.65374658559</v>
      </c>
      <c r="G298" s="12">
        <f>E298-F298</f>
        <v>-91377.653746585594</v>
      </c>
      <c r="H298" s="13">
        <f>G298/E298*100</f>
        <v>-16.97283195138446</v>
      </c>
    </row>
    <row r="299" spans="1:8" x14ac:dyDescent="0.45">
      <c r="A299" s="5" t="str">
        <f>'2_Cleaned_Data'!A301</f>
        <v>STR-1078</v>
      </c>
      <c r="B299" s="18">
        <f>'2_Cleaned_Data'!B301</f>
        <v>45717</v>
      </c>
      <c r="C299" s="5" t="str">
        <f>'2_Cleaned_Data'!C301</f>
        <v>South</v>
      </c>
      <c r="D299" s="5" t="str">
        <f>'2_Cleaned_Data'!D301</f>
        <v>High Street</v>
      </c>
      <c r="E299" s="12">
        <f>'2_Cleaned_Data'!M301</f>
        <v>621677.30000000005</v>
      </c>
      <c r="F299" s="12">
        <f>'5_Multiple_Regression'!$B$324+'5_Multiple_Regression'!$B$325*'2_Cleaned_Data'!E301+'5_Multiple_Regression'!$B$326*'2_Cleaned_Data'!F301+'5_Multiple_Regression'!$B$327*'2_Cleaned_Data'!G301+'5_Multiple_Regression'!$B$328*'2_Cleaned_Data'!I301+'5_Multiple_Regression'!$B$329*IF('2_Cleaned_Data'!D301="Airport",1,0)+'5_Multiple_Regression'!$B$330*IF('2_Cleaned_Data'!D301="High Street",1,0)+'5_Multiple_Regression'!$B$331*IF('2_Cleaned_Data'!D301="Mall",1,0)</f>
        <v>629605.48005571414</v>
      </c>
      <c r="G299" s="12">
        <f>E299-F299</f>
        <v>-7928.1800557140959</v>
      </c>
      <c r="H299" s="13">
        <f>G299/E299*100</f>
        <v>-1.2752886514778801</v>
      </c>
    </row>
    <row r="300" spans="1:8" x14ac:dyDescent="0.45">
      <c r="A300" s="5" t="str">
        <f>'2_Cleaned_Data'!A299</f>
        <v>STR-1078</v>
      </c>
      <c r="B300" s="18">
        <f>'2_Cleaned_Data'!B299</f>
        <v>45658</v>
      </c>
      <c r="C300" s="5" t="str">
        <f>'2_Cleaned_Data'!C299</f>
        <v>South</v>
      </c>
      <c r="D300" s="5" t="str">
        <f>'2_Cleaned_Data'!D299</f>
        <v>High Street</v>
      </c>
      <c r="E300" s="12">
        <f>'2_Cleaned_Data'!M299</f>
        <v>628538.30000000005</v>
      </c>
      <c r="F300" s="12">
        <f>'5_Multiple_Regression'!$B$324+'5_Multiple_Regression'!$B$325*'2_Cleaned_Data'!E299+'5_Multiple_Regression'!$B$326*'2_Cleaned_Data'!F299+'5_Multiple_Regression'!$B$327*'2_Cleaned_Data'!G299+'5_Multiple_Regression'!$B$328*'2_Cleaned_Data'!I299+'5_Multiple_Regression'!$B$329*IF('2_Cleaned_Data'!D299="Airport",1,0)+'5_Multiple_Regression'!$B$330*IF('2_Cleaned_Data'!D299="High Street",1,0)+'5_Multiple_Regression'!$B$331*IF('2_Cleaned_Data'!D299="Mall",1,0)</f>
        <v>641269.97670192493</v>
      </c>
      <c r="G300" s="12">
        <f>E300-F300</f>
        <v>-12731.67670192488</v>
      </c>
      <c r="H300" s="13">
        <f>G300/E300*100</f>
        <v>-2.0256007791291126</v>
      </c>
    </row>
    <row r="301" spans="1:8" x14ac:dyDescent="0.45">
      <c r="A301" s="5" t="str">
        <f>'2_Cleaned_Data'!A300</f>
        <v>STR-1078</v>
      </c>
      <c r="B301" s="18">
        <f>'2_Cleaned_Data'!B300</f>
        <v>45689</v>
      </c>
      <c r="C301" s="5" t="str">
        <f>'2_Cleaned_Data'!C300</f>
        <v>South</v>
      </c>
      <c r="D301" s="5" t="str">
        <f>'2_Cleaned_Data'!D300</f>
        <v>High Street</v>
      </c>
      <c r="E301" s="12">
        <f>'2_Cleaned_Data'!M300</f>
        <v>536524.84</v>
      </c>
      <c r="F301" s="12">
        <f>'5_Multiple_Regression'!$B$324+'5_Multiple_Regression'!$B$325*'2_Cleaned_Data'!E300+'5_Multiple_Regression'!$B$326*'2_Cleaned_Data'!F300+'5_Multiple_Regression'!$B$327*'2_Cleaned_Data'!G300+'5_Multiple_Regression'!$B$328*'2_Cleaned_Data'!I300+'5_Multiple_Regression'!$B$329*IF('2_Cleaned_Data'!D300="Airport",1,0)+'5_Multiple_Regression'!$B$330*IF('2_Cleaned_Data'!D300="High Street",1,0)+'5_Multiple_Regression'!$B$331*IF('2_Cleaned_Data'!D300="Mall",1,0)</f>
        <v>573853.45478119608</v>
      </c>
      <c r="G301" s="12">
        <f>E301-F301</f>
        <v>-37328.614781196113</v>
      </c>
      <c r="H301" s="13">
        <f>G301/E301*100</f>
        <v>-6.9574811822684879</v>
      </c>
    </row>
    <row r="302" spans="1:8" x14ac:dyDescent="0.45">
      <c r="A302" s="5" t="str">
        <f>'2_Cleaned_Data'!A304</f>
        <v>STR-1079</v>
      </c>
      <c r="B302" s="18">
        <f>'2_Cleaned_Data'!B304</f>
        <v>45748</v>
      </c>
      <c r="C302" s="5" t="str">
        <f>'2_Cleaned_Data'!C304</f>
        <v>North</v>
      </c>
      <c r="D302" s="5" t="str">
        <f>'2_Cleaned_Data'!D304</f>
        <v>Residential</v>
      </c>
      <c r="E302" s="12">
        <f>'2_Cleaned_Data'!M304</f>
        <v>844710.67</v>
      </c>
      <c r="F302" s="12">
        <f>'5_Multiple_Regression'!$B$324+'5_Multiple_Regression'!$B$325*'2_Cleaned_Data'!E304+'5_Multiple_Regression'!$B$326*'2_Cleaned_Data'!F304+'5_Multiple_Regression'!$B$327*'2_Cleaned_Data'!G304+'5_Multiple_Regression'!$B$328*'2_Cleaned_Data'!I304+'5_Multiple_Regression'!$B$329*IF('2_Cleaned_Data'!D304="Airport",1,0)+'5_Multiple_Regression'!$B$330*IF('2_Cleaned_Data'!D304="High Street",1,0)+'5_Multiple_Regression'!$B$331*IF('2_Cleaned_Data'!D304="Mall",1,0)</f>
        <v>812006.38338295068</v>
      </c>
      <c r="G302" s="12">
        <f>E302-F302</f>
        <v>32704.286617049365</v>
      </c>
      <c r="H302" s="13">
        <f>G302/E302*100</f>
        <v>3.871655441152337</v>
      </c>
    </row>
    <row r="303" spans="1:8" x14ac:dyDescent="0.45">
      <c r="A303" s="5" t="str">
        <f>'2_Cleaned_Data'!A303</f>
        <v>STR-1079</v>
      </c>
      <c r="B303" s="18">
        <f>'2_Cleaned_Data'!B303</f>
        <v>45717</v>
      </c>
      <c r="C303" s="5" t="str">
        <f>'2_Cleaned_Data'!C303</f>
        <v>North</v>
      </c>
      <c r="D303" s="5" t="str">
        <f>'2_Cleaned_Data'!D303</f>
        <v>Residential</v>
      </c>
      <c r="E303" s="12">
        <f>'2_Cleaned_Data'!M303</f>
        <v>712375.77</v>
      </c>
      <c r="F303" s="12">
        <f>'5_Multiple_Regression'!$B$324+'5_Multiple_Regression'!$B$325*'2_Cleaned_Data'!E303+'5_Multiple_Regression'!$B$326*'2_Cleaned_Data'!F303+'5_Multiple_Regression'!$B$327*'2_Cleaned_Data'!G303+'5_Multiple_Regression'!$B$328*'2_Cleaned_Data'!I303+'5_Multiple_Regression'!$B$329*IF('2_Cleaned_Data'!D303="Airport",1,0)+'5_Multiple_Regression'!$B$330*IF('2_Cleaned_Data'!D303="High Street",1,0)+'5_Multiple_Regression'!$B$331*IF('2_Cleaned_Data'!D303="Mall",1,0)</f>
        <v>684903.80615002406</v>
      </c>
      <c r="G303" s="12">
        <f>E303-F303</f>
        <v>27471.96384997596</v>
      </c>
      <c r="H303" s="13">
        <f>G303/E303*100</f>
        <v>3.8563866160096882</v>
      </c>
    </row>
    <row r="304" spans="1:8" x14ac:dyDescent="0.45">
      <c r="A304" s="5" t="str">
        <f>'2_Cleaned_Data'!A302</f>
        <v>STR-1079</v>
      </c>
      <c r="B304" s="18">
        <f>'2_Cleaned_Data'!B302</f>
        <v>45658</v>
      </c>
      <c r="C304" s="5" t="str">
        <f>'2_Cleaned_Data'!C302</f>
        <v>North</v>
      </c>
      <c r="D304" s="5" t="str">
        <f>'2_Cleaned_Data'!D302</f>
        <v>Residential</v>
      </c>
      <c r="E304" s="12">
        <f>'2_Cleaned_Data'!M302</f>
        <v>702052.47</v>
      </c>
      <c r="F304" s="12">
        <f>'5_Multiple_Regression'!$B$324+'5_Multiple_Regression'!$B$325*'2_Cleaned_Data'!E302+'5_Multiple_Regression'!$B$326*'2_Cleaned_Data'!F302+'5_Multiple_Regression'!$B$327*'2_Cleaned_Data'!G302+'5_Multiple_Regression'!$B$328*'2_Cleaned_Data'!I302+'5_Multiple_Regression'!$B$329*IF('2_Cleaned_Data'!D302="Airport",1,0)+'5_Multiple_Regression'!$B$330*IF('2_Cleaned_Data'!D302="High Street",1,0)+'5_Multiple_Regression'!$B$331*IF('2_Cleaned_Data'!D302="Mall",1,0)</f>
        <v>677409.43004835176</v>
      </c>
      <c r="G304" s="12">
        <f>E304-F304</f>
        <v>24643.039951648214</v>
      </c>
      <c r="H304" s="13">
        <f>G304/E304*100</f>
        <v>3.5101421908889825</v>
      </c>
    </row>
    <row r="305" spans="1:8" x14ac:dyDescent="0.45">
      <c r="A305" s="5" t="str">
        <f>'2_Cleaned_Data'!A306</f>
        <v>STR-1080</v>
      </c>
      <c r="B305" s="18">
        <f>'2_Cleaned_Data'!B306</f>
        <v>45689</v>
      </c>
      <c r="C305" s="5" t="str">
        <f>'2_Cleaned_Data'!C306</f>
        <v>East</v>
      </c>
      <c r="D305" s="5" t="str">
        <f>'2_Cleaned_Data'!D306</f>
        <v>Residential</v>
      </c>
      <c r="E305" s="12">
        <f>'2_Cleaned_Data'!M306</f>
        <v>536845.42000000004</v>
      </c>
      <c r="F305" s="12">
        <f>'5_Multiple_Regression'!$B$324+'5_Multiple_Regression'!$B$325*'2_Cleaned_Data'!E306+'5_Multiple_Regression'!$B$326*'2_Cleaned_Data'!F306+'5_Multiple_Regression'!$B$327*'2_Cleaned_Data'!G306+'5_Multiple_Regression'!$B$328*'2_Cleaned_Data'!I306+'5_Multiple_Regression'!$B$329*IF('2_Cleaned_Data'!D306="Airport",1,0)+'5_Multiple_Regression'!$B$330*IF('2_Cleaned_Data'!D306="High Street",1,0)+'5_Multiple_Regression'!$B$331*IF('2_Cleaned_Data'!D306="Mall",1,0)</f>
        <v>531187.75132917636</v>
      </c>
      <c r="G305" s="12">
        <f>E305-F305</f>
        <v>5657.6686708236812</v>
      </c>
      <c r="H305" s="13">
        <f>G305/E305*100</f>
        <v>1.0538729511418166</v>
      </c>
    </row>
    <row r="306" spans="1:8" x14ac:dyDescent="0.45">
      <c r="A306" s="5" t="str">
        <f>'2_Cleaned_Data'!A307</f>
        <v>STR-1080</v>
      </c>
      <c r="B306" s="18">
        <f>'2_Cleaned_Data'!B307</f>
        <v>45717</v>
      </c>
      <c r="C306" s="5" t="str">
        <f>'2_Cleaned_Data'!C307</f>
        <v>East</v>
      </c>
      <c r="D306" s="5" t="str">
        <f>'2_Cleaned_Data'!D307</f>
        <v>Residential</v>
      </c>
      <c r="E306" s="12">
        <f>'2_Cleaned_Data'!M307</f>
        <v>726776.22</v>
      </c>
      <c r="F306" s="12">
        <f>'5_Multiple_Regression'!$B$324+'5_Multiple_Regression'!$B$325*'2_Cleaned_Data'!E307+'5_Multiple_Regression'!$B$326*'2_Cleaned_Data'!F307+'5_Multiple_Regression'!$B$327*'2_Cleaned_Data'!G307+'5_Multiple_Regression'!$B$328*'2_Cleaned_Data'!I307+'5_Multiple_Regression'!$B$329*IF('2_Cleaned_Data'!D307="Airport",1,0)+'5_Multiple_Regression'!$B$330*IF('2_Cleaned_Data'!D307="High Street",1,0)+'5_Multiple_Regression'!$B$331*IF('2_Cleaned_Data'!D307="Mall",1,0)</f>
        <v>723725.6656758826</v>
      </c>
      <c r="G306" s="12">
        <f>E306-F306</f>
        <v>3050.5543241173727</v>
      </c>
      <c r="H306" s="13">
        <f>G306/E306*100</f>
        <v>0.41973777349475921</v>
      </c>
    </row>
    <row r="307" spans="1:8" x14ac:dyDescent="0.45">
      <c r="A307" s="5" t="str">
        <f>'2_Cleaned_Data'!A308</f>
        <v>STR-1080</v>
      </c>
      <c r="B307" s="18">
        <f>'2_Cleaned_Data'!B308</f>
        <v>45748</v>
      </c>
      <c r="C307" s="5" t="str">
        <f>'2_Cleaned_Data'!C308</f>
        <v>East</v>
      </c>
      <c r="D307" s="5" t="str">
        <f>'2_Cleaned_Data'!D308</f>
        <v>Residential</v>
      </c>
      <c r="E307" s="12">
        <f>'2_Cleaned_Data'!M308</f>
        <v>559660.84</v>
      </c>
      <c r="F307" s="12">
        <f>'5_Multiple_Regression'!$B$324+'5_Multiple_Regression'!$B$325*'2_Cleaned_Data'!E308+'5_Multiple_Regression'!$B$326*'2_Cleaned_Data'!F308+'5_Multiple_Regression'!$B$327*'2_Cleaned_Data'!G308+'5_Multiple_Regression'!$B$328*'2_Cleaned_Data'!I308+'5_Multiple_Regression'!$B$329*IF('2_Cleaned_Data'!D308="Airport",1,0)+'5_Multiple_Regression'!$B$330*IF('2_Cleaned_Data'!D308="High Street",1,0)+'5_Multiple_Regression'!$B$331*IF('2_Cleaned_Data'!D308="Mall",1,0)</f>
        <v>593232.82231564308</v>
      </c>
      <c r="G307" s="12">
        <f>E307-F307</f>
        <v>-33571.982315643108</v>
      </c>
      <c r="H307" s="13">
        <f>G307/E307*100</f>
        <v>-5.9986298694121798</v>
      </c>
    </row>
    <row r="308" spans="1:8" x14ac:dyDescent="0.45">
      <c r="A308" s="5" t="str">
        <f>'2_Cleaned_Data'!A305</f>
        <v>STR-1080</v>
      </c>
      <c r="B308" s="18">
        <f>'2_Cleaned_Data'!B305</f>
        <v>45658</v>
      </c>
      <c r="C308" s="5" t="str">
        <f>'2_Cleaned_Data'!C305</f>
        <v>East</v>
      </c>
      <c r="D308" s="5" t="str">
        <f>'2_Cleaned_Data'!D305</f>
        <v>Residential</v>
      </c>
      <c r="E308" s="12">
        <f>'2_Cleaned_Data'!M305</f>
        <v>620264.19999999995</v>
      </c>
      <c r="F308" s="12">
        <f>'5_Multiple_Regression'!$B$324+'5_Multiple_Regression'!$B$325*'2_Cleaned_Data'!E305+'5_Multiple_Regression'!$B$326*'2_Cleaned_Data'!F305+'5_Multiple_Regression'!$B$327*'2_Cleaned_Data'!G305+'5_Multiple_Regression'!$B$328*'2_Cleaned_Data'!I305+'5_Multiple_Regression'!$B$329*IF('2_Cleaned_Data'!D305="Airport",1,0)+'5_Multiple_Regression'!$B$330*IF('2_Cleaned_Data'!D305="High Street",1,0)+'5_Multiple_Regression'!$B$331*IF('2_Cleaned_Data'!D305="Mall",1,0)</f>
        <v>669745.613501705</v>
      </c>
      <c r="G308" s="12">
        <f>E308-F308</f>
        <v>-49481.413501705043</v>
      </c>
      <c r="H308" s="13">
        <f>G308/E308*100</f>
        <v>-7.9774737122834187</v>
      </c>
    </row>
  </sheetData>
  <sortState xmlns:xlrd2="http://schemas.microsoft.com/office/spreadsheetml/2017/richdata2" ref="A3:H308">
    <sortCondition ref="A3:A308"/>
  </sortState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selection activeCell="A2" sqref="A2"/>
    </sheetView>
  </sheetViews>
  <sheetFormatPr defaultRowHeight="14.25" x14ac:dyDescent="0.45"/>
  <cols>
    <col min="1" max="1" width="26" customWidth="1"/>
    <col min="2" max="2" width="18" customWidth="1"/>
    <col min="3" max="3" width="38" customWidth="1"/>
    <col min="4" max="5" width="12" customWidth="1"/>
    <col min="6" max="6" width="40" customWidth="1"/>
    <col min="7" max="7" width="18" customWidth="1"/>
    <col min="8" max="8" width="12" customWidth="1"/>
  </cols>
  <sheetData>
    <row r="1" spans="1:8" ht="15.4" customHeight="1" x14ac:dyDescent="0.45">
      <c r="A1" s="35" t="s">
        <v>193</v>
      </c>
      <c r="B1" s="36"/>
      <c r="C1" s="36"/>
      <c r="D1" s="36"/>
      <c r="E1" s="36"/>
      <c r="F1" s="36"/>
      <c r="G1" s="36"/>
      <c r="H1" s="36"/>
    </row>
    <row r="3" spans="1:8" ht="40.049999999999997" customHeight="1" x14ac:dyDescent="0.45">
      <c r="A3" s="1" t="s">
        <v>171</v>
      </c>
      <c r="B3" s="1" t="s">
        <v>172</v>
      </c>
      <c r="C3" s="1" t="s">
        <v>173</v>
      </c>
      <c r="D3" s="1" t="s">
        <v>154</v>
      </c>
      <c r="E3" s="1" t="s">
        <v>174</v>
      </c>
      <c r="F3" s="1" t="s">
        <v>175</v>
      </c>
      <c r="G3" s="1" t="s">
        <v>176</v>
      </c>
      <c r="H3" s="1" t="s">
        <v>177</v>
      </c>
    </row>
    <row r="4" spans="1:8" ht="55.05" customHeight="1" x14ac:dyDescent="0.45">
      <c r="A4" s="14" t="s">
        <v>178</v>
      </c>
      <c r="B4" s="14" t="s">
        <v>51</v>
      </c>
      <c r="C4" s="14" t="s">
        <v>43</v>
      </c>
      <c r="D4" s="15">
        <f>'4_Simple_Regression'!$B$7</f>
        <v>0.15742646124543749</v>
      </c>
      <c r="E4" s="14" t="s">
        <v>179</v>
      </c>
      <c r="F4" s="14" t="s">
        <v>180</v>
      </c>
      <c r="G4" s="14" t="s">
        <v>181</v>
      </c>
      <c r="H4" s="14" t="s">
        <v>182</v>
      </c>
    </row>
    <row r="5" spans="1:8" ht="55.05" customHeight="1" x14ac:dyDescent="0.45">
      <c r="A5" s="14" t="s">
        <v>183</v>
      </c>
      <c r="B5" s="14" t="s">
        <v>51</v>
      </c>
      <c r="C5" s="14" t="s">
        <v>44</v>
      </c>
      <c r="D5" s="15">
        <f>'4_Simple_Regression'!$B$19</f>
        <v>0.73484316730369037</v>
      </c>
      <c r="E5" s="14" t="s">
        <v>179</v>
      </c>
      <c r="F5" s="14" t="s">
        <v>184</v>
      </c>
      <c r="G5" s="14" t="s">
        <v>185</v>
      </c>
      <c r="H5" s="14" t="s">
        <v>182</v>
      </c>
    </row>
    <row r="6" spans="1:8" ht="55.05" customHeight="1" x14ac:dyDescent="0.45">
      <c r="A6" s="14" t="s">
        <v>186</v>
      </c>
      <c r="B6" s="14" t="s">
        <v>51</v>
      </c>
      <c r="C6" s="14" t="s">
        <v>50</v>
      </c>
      <c r="D6" s="15">
        <f>'4_Simple_Regression'!$B$31</f>
        <v>6.9196261025870887E-4</v>
      </c>
      <c r="E6" s="14" t="s">
        <v>179</v>
      </c>
      <c r="F6" s="14" t="s">
        <v>187</v>
      </c>
      <c r="G6" s="14" t="s">
        <v>188</v>
      </c>
      <c r="H6" s="14" t="s">
        <v>182</v>
      </c>
    </row>
    <row r="7" spans="1:8" ht="55.05" customHeight="1" x14ac:dyDescent="0.45">
      <c r="A7" s="16" t="s">
        <v>189</v>
      </c>
      <c r="B7" s="16" t="s">
        <v>51</v>
      </c>
      <c r="C7" s="16" t="s">
        <v>192</v>
      </c>
      <c r="D7" s="17">
        <f>'5_Multiple_Regression'!$B$317</f>
        <v>0.81592770789362312</v>
      </c>
      <c r="E7" s="17">
        <f>'5_Multiple_Regression'!$B$318</f>
        <v>0.81160386210588942</v>
      </c>
      <c r="F7" s="16" t="s">
        <v>190</v>
      </c>
      <c r="G7" s="16" t="s">
        <v>185</v>
      </c>
      <c r="H7" s="16" t="s">
        <v>191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AC06-9D6F-4572-85AA-C9FC7C5B5800}">
  <dimension ref="A1:AI308"/>
  <sheetViews>
    <sheetView zoomScale="80" zoomScaleNormal="80" workbookViewId="0">
      <selection activeCell="AA12" sqref="AA12"/>
    </sheetView>
  </sheetViews>
  <sheetFormatPr defaultRowHeight="14.25" x14ac:dyDescent="0.45"/>
  <cols>
    <col min="1" max="1" width="8.9296875" bestFit="1" customWidth="1"/>
    <col min="2" max="2" width="16.59765625" bestFit="1" customWidth="1"/>
    <col min="3" max="3" width="6.3984375" bestFit="1" customWidth="1"/>
    <col min="4" max="4" width="9.796875" bestFit="1" customWidth="1"/>
    <col min="5" max="5" width="11.53125" bestFit="1" customWidth="1"/>
    <col min="6" max="6" width="14.59765625" bestFit="1" customWidth="1"/>
    <col min="7" max="7" width="10.9296875" bestFit="1" customWidth="1"/>
    <col min="27" max="27" width="13" bestFit="1" customWidth="1"/>
    <col min="28" max="28" width="15.6640625" bestFit="1" customWidth="1"/>
    <col min="30" max="30" width="15.6640625" bestFit="1" customWidth="1"/>
    <col min="31" max="31" width="12.33203125" bestFit="1" customWidth="1"/>
  </cols>
  <sheetData>
    <row r="1" spans="1:35" ht="20.65" x14ac:dyDescent="0.6">
      <c r="A1" s="47" t="s">
        <v>195</v>
      </c>
      <c r="B1" s="47"/>
      <c r="C1" s="47"/>
      <c r="D1" s="47"/>
      <c r="E1" s="47"/>
      <c r="F1" s="47"/>
      <c r="G1" s="47"/>
    </row>
    <row r="2" spans="1:35" ht="26.25" x14ac:dyDescent="0.45">
      <c r="A2" s="1" t="s">
        <v>39</v>
      </c>
      <c r="B2" s="1" t="s">
        <v>40</v>
      </c>
      <c r="C2" s="1" t="s">
        <v>41</v>
      </c>
      <c r="D2" s="1" t="s">
        <v>42</v>
      </c>
      <c r="E2" s="1" t="s">
        <v>167</v>
      </c>
      <c r="F2" s="1" t="s">
        <v>168</v>
      </c>
      <c r="G2" s="1" t="s">
        <v>169</v>
      </c>
      <c r="AA2" t="s">
        <v>167</v>
      </c>
      <c r="AB2" t="s">
        <v>168</v>
      </c>
      <c r="AD2" t="s">
        <v>168</v>
      </c>
      <c r="AE2" t="s">
        <v>169</v>
      </c>
      <c r="AH2" t="s">
        <v>51</v>
      </c>
      <c r="AI2" t="s">
        <v>44</v>
      </c>
    </row>
    <row r="3" spans="1:35" x14ac:dyDescent="0.45">
      <c r="A3" s="5" t="str">
        <f>'2_Cleaned_Data'!A116</f>
        <v>STR-1030</v>
      </c>
      <c r="B3" s="18">
        <f>'2_Cleaned_Data'!B116</f>
        <v>45689</v>
      </c>
      <c r="C3" s="5" t="str">
        <f>'2_Cleaned_Data'!C116</f>
        <v>West</v>
      </c>
      <c r="D3" s="5" t="str">
        <f>'2_Cleaned_Data'!D116</f>
        <v>Residential</v>
      </c>
      <c r="E3" s="12">
        <f>'2_Cleaned_Data'!M116</f>
        <v>820519.04</v>
      </c>
      <c r="F3" s="12">
        <f>'5_Multiple_Regression'!$B$324+'5_Multiple_Regression'!$B$325*'2_Cleaned_Data'!E116+'5_Multiple_Regression'!$B$326*'2_Cleaned_Data'!F116+'5_Multiple_Regression'!$B$327*'2_Cleaned_Data'!G116+'5_Multiple_Regression'!$B$328*'2_Cleaned_Data'!I116+'5_Multiple_Regression'!$B$329*IF('2_Cleaned_Data'!D116="Airport",1,0)+'5_Multiple_Regression'!$B$330*IF('2_Cleaned_Data'!D116="High Street",1,0)+'5_Multiple_Regression'!$B$331*IF('2_Cleaned_Data'!D116="Mall",1,0)</f>
        <v>717684.65941515507</v>
      </c>
      <c r="G3" s="12">
        <f>E3-F3</f>
        <v>102834.38058484497</v>
      </c>
      <c r="AA3">
        <v>658832.62</v>
      </c>
      <c r="AB3">
        <v>708513.15762499813</v>
      </c>
      <c r="AD3">
        <v>708513.15762499813</v>
      </c>
      <c r="AE3">
        <v>-49680.537624998135</v>
      </c>
      <c r="AH3">
        <v>658832.62</v>
      </c>
      <c r="AI3">
        <v>8302</v>
      </c>
    </row>
    <row r="4" spans="1:35" x14ac:dyDescent="0.45">
      <c r="A4" s="5" t="str">
        <f>'2_Cleaned_Data'!A123</f>
        <v>STR-1032</v>
      </c>
      <c r="B4" s="18">
        <f>'2_Cleaned_Data'!B123</f>
        <v>45658</v>
      </c>
      <c r="C4" s="5" t="str">
        <f>'2_Cleaned_Data'!C123</f>
        <v>South</v>
      </c>
      <c r="D4" s="5" t="str">
        <f>'2_Cleaned_Data'!D123</f>
        <v>High Street</v>
      </c>
      <c r="E4" s="12">
        <f>'2_Cleaned_Data'!M123</f>
        <v>914544.17</v>
      </c>
      <c r="F4" s="12">
        <f>'5_Multiple_Regression'!$B$324+'5_Multiple_Regression'!$B$325*'2_Cleaned_Data'!E123+'5_Multiple_Regression'!$B$326*'2_Cleaned_Data'!F123+'5_Multiple_Regression'!$B$327*'2_Cleaned_Data'!G123+'5_Multiple_Regression'!$B$328*'2_Cleaned_Data'!I123+'5_Multiple_Regression'!$B$329*IF('2_Cleaned_Data'!D123="Airport",1,0)+'5_Multiple_Regression'!$B$330*IF('2_Cleaned_Data'!D123="High Street",1,0)+'5_Multiple_Regression'!$B$331*IF('2_Cleaned_Data'!D123="Mall",1,0)</f>
        <v>815637.1127957087</v>
      </c>
      <c r="G4" s="12">
        <f>E4-F4</f>
        <v>98907.057204291341</v>
      </c>
      <c r="AA4">
        <v>634436</v>
      </c>
      <c r="AB4">
        <v>703686.17701867537</v>
      </c>
      <c r="AD4">
        <v>703686.17701867537</v>
      </c>
      <c r="AE4">
        <v>-69250.177018675371</v>
      </c>
      <c r="AH4">
        <v>634436</v>
      </c>
      <c r="AI4">
        <v>8487</v>
      </c>
    </row>
    <row r="5" spans="1:35" x14ac:dyDescent="0.45">
      <c r="A5" s="5" t="str">
        <f>'2_Cleaned_Data'!A281</f>
        <v>STR-1073</v>
      </c>
      <c r="B5" s="18">
        <f>'2_Cleaned_Data'!B281</f>
        <v>45717</v>
      </c>
      <c r="C5" s="5" t="str">
        <f>'2_Cleaned_Data'!C281</f>
        <v>East</v>
      </c>
      <c r="D5" s="5" t="str">
        <f>'2_Cleaned_Data'!D281</f>
        <v>Residential</v>
      </c>
      <c r="E5" s="12">
        <f>'2_Cleaned_Data'!M281</f>
        <v>813316.71</v>
      </c>
      <c r="F5" s="12">
        <f>'5_Multiple_Regression'!$B$324+'5_Multiple_Regression'!$B$325*'2_Cleaned_Data'!E281+'5_Multiple_Regression'!$B$326*'2_Cleaned_Data'!F281+'5_Multiple_Regression'!$B$327*'2_Cleaned_Data'!G281+'5_Multiple_Regression'!$B$328*'2_Cleaned_Data'!I281+'5_Multiple_Regression'!$B$329*IF('2_Cleaned_Data'!D281="Airport",1,0)+'5_Multiple_Regression'!$B$330*IF('2_Cleaned_Data'!D281="High Street",1,0)+'5_Multiple_Regression'!$B$331*IF('2_Cleaned_Data'!D281="Mall",1,0)</f>
        <v>716285.36915543769</v>
      </c>
      <c r="G5" s="12">
        <f>E5-F5</f>
        <v>97031.340844562277</v>
      </c>
      <c r="AA5">
        <v>678722.06</v>
      </c>
      <c r="AB5">
        <v>755456.45136663527</v>
      </c>
      <c r="AD5">
        <v>755456.45136663527</v>
      </c>
      <c r="AE5">
        <v>-76734.391366635216</v>
      </c>
      <c r="AH5">
        <v>678722.06</v>
      </c>
      <c r="AI5">
        <v>9113</v>
      </c>
    </row>
    <row r="6" spans="1:35" x14ac:dyDescent="0.45">
      <c r="A6" s="5" t="str">
        <f>'2_Cleaned_Data'!A110</f>
        <v>STR-1028</v>
      </c>
      <c r="B6" s="18">
        <f>'2_Cleaned_Data'!B110</f>
        <v>45748</v>
      </c>
      <c r="C6" s="5" t="str">
        <f>'2_Cleaned_Data'!C110</f>
        <v>East</v>
      </c>
      <c r="D6" s="5" t="str">
        <f>'2_Cleaned_Data'!D110</f>
        <v>Mall</v>
      </c>
      <c r="E6" s="12">
        <f>'2_Cleaned_Data'!M110</f>
        <v>713611.16</v>
      </c>
      <c r="F6" s="12">
        <f>'5_Multiple_Regression'!$B$324+'5_Multiple_Regression'!$B$325*'2_Cleaned_Data'!E110+'5_Multiple_Regression'!$B$326*'2_Cleaned_Data'!F110+'5_Multiple_Regression'!$B$327*'2_Cleaned_Data'!G110+'5_Multiple_Regression'!$B$328*'2_Cleaned_Data'!I110+'5_Multiple_Regression'!$B$329*IF('2_Cleaned_Data'!D110="Airport",1,0)+'5_Multiple_Regression'!$B$330*IF('2_Cleaned_Data'!D110="High Street",1,0)+'5_Multiple_Regression'!$B$331*IF('2_Cleaned_Data'!D110="Mall",1,0)</f>
        <v>617601.62540410273</v>
      </c>
      <c r="G6" s="12">
        <f>E6-F6</f>
        <v>96009.534595897305</v>
      </c>
      <c r="AA6">
        <v>658920.30000000005</v>
      </c>
      <c r="AB6">
        <v>758994.28542810038</v>
      </c>
      <c r="AD6">
        <v>758994.28542810038</v>
      </c>
      <c r="AE6">
        <v>-100073.98542810034</v>
      </c>
      <c r="AH6">
        <v>658920.30000000005</v>
      </c>
      <c r="AI6">
        <v>9431</v>
      </c>
    </row>
    <row r="7" spans="1:35" x14ac:dyDescent="0.45">
      <c r="A7" s="5" t="str">
        <f>'2_Cleaned_Data'!A194</f>
        <v>STR-1050</v>
      </c>
      <c r="B7" s="18">
        <f>'2_Cleaned_Data'!B194</f>
        <v>45748</v>
      </c>
      <c r="C7" s="5" t="str">
        <f>'2_Cleaned_Data'!C194</f>
        <v>North</v>
      </c>
      <c r="D7" s="5" t="str">
        <f>'2_Cleaned_Data'!D194</f>
        <v>Residential</v>
      </c>
      <c r="E7" s="12">
        <f>'2_Cleaned_Data'!M194</f>
        <v>735786.64</v>
      </c>
      <c r="F7" s="12">
        <f>'5_Multiple_Regression'!$B$324+'5_Multiple_Regression'!$B$325*'2_Cleaned_Data'!E194+'5_Multiple_Regression'!$B$326*'2_Cleaned_Data'!F194+'5_Multiple_Regression'!$B$327*'2_Cleaned_Data'!G194+'5_Multiple_Regression'!$B$328*'2_Cleaned_Data'!I194+'5_Multiple_Regression'!$B$329*IF('2_Cleaned_Data'!D194="Airport",1,0)+'5_Multiple_Regression'!$B$330*IF('2_Cleaned_Data'!D194="High Street",1,0)+'5_Multiple_Regression'!$B$331*IF('2_Cleaned_Data'!D194="Mall",1,0)</f>
        <v>640920.90981013014</v>
      </c>
      <c r="G7" s="12">
        <f>E7-F7</f>
        <v>94865.730189869879</v>
      </c>
      <c r="AA7">
        <v>850164.26</v>
      </c>
      <c r="AB7">
        <v>782816.69901262887</v>
      </c>
      <c r="AD7">
        <v>782816.69901262887</v>
      </c>
      <c r="AE7">
        <v>67347.560987371136</v>
      </c>
      <c r="AH7">
        <v>741341.44</v>
      </c>
      <c r="AI7">
        <v>9545</v>
      </c>
    </row>
    <row r="8" spans="1:35" x14ac:dyDescent="0.45">
      <c r="AA8">
        <v>806615.54</v>
      </c>
      <c r="AB8">
        <v>797090.34410776536</v>
      </c>
      <c r="AD8">
        <v>797090.34410776536</v>
      </c>
      <c r="AE8">
        <v>9525.1958922346821</v>
      </c>
      <c r="AH8">
        <v>761835.34</v>
      </c>
      <c r="AI8">
        <v>9792</v>
      </c>
    </row>
    <row r="9" spans="1:35" ht="20.65" x14ac:dyDescent="0.6">
      <c r="A9" s="47" t="s">
        <v>194</v>
      </c>
      <c r="B9" s="47"/>
      <c r="C9" s="47"/>
      <c r="D9" s="47"/>
      <c r="E9" s="47"/>
      <c r="F9" s="47"/>
      <c r="G9" s="47"/>
      <c r="AA9">
        <v>761835.34</v>
      </c>
      <c r="AB9">
        <v>788711.14357103431</v>
      </c>
      <c r="AD9">
        <v>788711.14357103431</v>
      </c>
      <c r="AE9">
        <v>-26875.803571034339</v>
      </c>
      <c r="AH9">
        <v>806615.54</v>
      </c>
      <c r="AI9">
        <v>10616</v>
      </c>
    </row>
    <row r="10" spans="1:35" ht="26.25" x14ac:dyDescent="0.4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167</v>
      </c>
      <c r="F10" s="1" t="s">
        <v>168</v>
      </c>
      <c r="G10" s="1" t="s">
        <v>169</v>
      </c>
      <c r="AA10">
        <v>741341.44</v>
      </c>
      <c r="AB10">
        <v>792842.62707604724</v>
      </c>
      <c r="AD10">
        <v>792842.62707604724</v>
      </c>
      <c r="AE10">
        <v>-51501.187076047296</v>
      </c>
      <c r="AH10">
        <v>850164.26</v>
      </c>
      <c r="AI10">
        <v>8567</v>
      </c>
    </row>
    <row r="11" spans="1:35" x14ac:dyDescent="0.45">
      <c r="A11" s="5" t="str">
        <f>'2_Cleaned_Data'!A68</f>
        <v>STR-1017</v>
      </c>
      <c r="B11" s="18">
        <f>'2_Cleaned_Data'!B68</f>
        <v>45717</v>
      </c>
      <c r="C11" s="5" t="str">
        <f>'2_Cleaned_Data'!C68</f>
        <v>West</v>
      </c>
      <c r="D11" s="5" t="str">
        <f>'2_Cleaned_Data'!D68</f>
        <v>High Street</v>
      </c>
      <c r="E11" s="12">
        <f>'2_Cleaned_Data'!M68</f>
        <v>685379.08</v>
      </c>
      <c r="F11" s="12">
        <f>'5_Multiple_Regression'!$B$324+'5_Multiple_Regression'!$B$325*'2_Cleaned_Data'!E68+'5_Multiple_Regression'!$B$326*'2_Cleaned_Data'!F68+'5_Multiple_Regression'!$B$327*'2_Cleaned_Data'!G68+'5_Multiple_Regression'!$B$328*'2_Cleaned_Data'!I68+'5_Multiple_Regression'!$B$329*IF('2_Cleaned_Data'!D68="Airport",1,0)+'5_Multiple_Regression'!$B$330*IF('2_Cleaned_Data'!D68="High Street",1,0)+'5_Multiple_Regression'!$B$331*IF('2_Cleaned_Data'!D68="Mall",1,0)</f>
        <v>842418.23363628529</v>
      </c>
      <c r="G11" s="12">
        <f>E11-F11</f>
        <v>-157039.15363628534</v>
      </c>
      <c r="AA11">
        <v>930581.7</v>
      </c>
      <c r="AB11">
        <v>865496.8432046955</v>
      </c>
      <c r="AD11">
        <v>865496.8432046955</v>
      </c>
      <c r="AE11">
        <v>65084.856795304455</v>
      </c>
      <c r="AH11">
        <v>930581.7</v>
      </c>
      <c r="AI11">
        <v>10979</v>
      </c>
    </row>
    <row r="12" spans="1:35" x14ac:dyDescent="0.45">
      <c r="A12" s="5" t="str">
        <f>'2_Cleaned_Data'!A89</f>
        <v>STR-1023</v>
      </c>
      <c r="B12" s="18">
        <f>'2_Cleaned_Data'!B89</f>
        <v>45689</v>
      </c>
      <c r="C12" s="5" t="str">
        <f>'2_Cleaned_Data'!C89</f>
        <v>South</v>
      </c>
      <c r="D12" s="5" t="str">
        <f>'2_Cleaned_Data'!D89</f>
        <v>Mall</v>
      </c>
      <c r="E12" s="12">
        <f>'2_Cleaned_Data'!M89</f>
        <v>627171.9</v>
      </c>
      <c r="F12" s="12">
        <f>'5_Multiple_Regression'!$B$324+'5_Multiple_Regression'!$B$325*'2_Cleaned_Data'!E89+'5_Multiple_Regression'!$B$326*'2_Cleaned_Data'!F89+'5_Multiple_Regression'!$B$327*'2_Cleaned_Data'!G89+'5_Multiple_Regression'!$B$328*'2_Cleaned_Data'!I89+'5_Multiple_Regression'!$B$329*IF('2_Cleaned_Data'!D89="Airport",1,0)+'5_Multiple_Regression'!$B$330*IF('2_Cleaned_Data'!D89="High Street",1,0)+'5_Multiple_Regression'!$B$331*IF('2_Cleaned_Data'!D89="Mall",1,0)</f>
        <v>754728.7747576714</v>
      </c>
      <c r="G12" s="12">
        <f>E12-F12</f>
        <v>-127556.87475767138</v>
      </c>
      <c r="AA12">
        <v>910791.94</v>
      </c>
      <c r="AB12">
        <v>871529.07103220304</v>
      </c>
      <c r="AD12">
        <v>871529.07103220304</v>
      </c>
      <c r="AE12">
        <v>39262.868967796909</v>
      </c>
      <c r="AH12">
        <v>779010.94</v>
      </c>
      <c r="AI12">
        <v>9459</v>
      </c>
    </row>
    <row r="13" spans="1:35" x14ac:dyDescent="0.45">
      <c r="A13" s="5" t="str">
        <f>'2_Cleaned_Data'!A46</f>
        <v>STR-1012</v>
      </c>
      <c r="B13" s="18">
        <f>'2_Cleaned_Data'!B46</f>
        <v>45658</v>
      </c>
      <c r="C13" s="5" t="str">
        <f>'2_Cleaned_Data'!C46</f>
        <v>West</v>
      </c>
      <c r="D13" s="5" t="str">
        <f>'2_Cleaned_Data'!D46</f>
        <v>Residential</v>
      </c>
      <c r="E13" s="12">
        <f>'2_Cleaned_Data'!M46</f>
        <v>595467.6</v>
      </c>
      <c r="F13" s="12">
        <f>'5_Multiple_Regression'!$B$324+'5_Multiple_Regression'!$B$325*'2_Cleaned_Data'!E46+'5_Multiple_Regression'!$B$326*'2_Cleaned_Data'!F46+'5_Multiple_Regression'!$B$327*'2_Cleaned_Data'!G46+'5_Multiple_Regression'!$B$328*'2_Cleaned_Data'!I46+'5_Multiple_Regression'!$B$329*IF('2_Cleaned_Data'!D46="Airport",1,0)+'5_Multiple_Regression'!$B$330*IF('2_Cleaned_Data'!D46="High Street",1,0)+'5_Multiple_Regression'!$B$331*IF('2_Cleaned_Data'!D46="Mall",1,0)</f>
        <v>718262.01528030937</v>
      </c>
      <c r="G13" s="12">
        <f>E13-F13</f>
        <v>-122794.41528030939</v>
      </c>
      <c r="AA13">
        <v>779010.94</v>
      </c>
      <c r="AB13">
        <v>799677.981699834</v>
      </c>
      <c r="AD13">
        <v>799677.981699834</v>
      </c>
      <c r="AE13">
        <v>-20667.041699834052</v>
      </c>
      <c r="AH13">
        <v>723060.76</v>
      </c>
      <c r="AI13">
        <v>9172</v>
      </c>
    </row>
    <row r="14" spans="1:35" x14ac:dyDescent="0.45">
      <c r="A14" s="5" t="str">
        <f>'2_Cleaned_Data'!A35</f>
        <v>STR-1009</v>
      </c>
      <c r="B14" s="18">
        <f>'2_Cleaned_Data'!B35</f>
        <v>45658</v>
      </c>
      <c r="C14" s="5" t="str">
        <f>'2_Cleaned_Data'!C35</f>
        <v>North</v>
      </c>
      <c r="D14" s="5" t="str">
        <f>'2_Cleaned_Data'!D35</f>
        <v>Residential</v>
      </c>
      <c r="E14" s="12">
        <f>'2_Cleaned_Data'!M35</f>
        <v>641865.03</v>
      </c>
      <c r="F14" s="12">
        <f>'5_Multiple_Regression'!$B$324+'5_Multiple_Regression'!$B$325*'2_Cleaned_Data'!E35+'5_Multiple_Regression'!$B$326*'2_Cleaned_Data'!F35+'5_Multiple_Regression'!$B$327*'2_Cleaned_Data'!G35+'5_Multiple_Regression'!$B$328*'2_Cleaned_Data'!I35+'5_Multiple_Regression'!$B$329*IF('2_Cleaned_Data'!D35="Airport",1,0)+'5_Multiple_Regression'!$B$330*IF('2_Cleaned_Data'!D35="High Street",1,0)+'5_Multiple_Regression'!$B$331*IF('2_Cleaned_Data'!D35="Mall",1,0)</f>
        <v>743673.68683792849</v>
      </c>
      <c r="G14" s="12">
        <f>E14-F14</f>
        <v>-101808.65683792846</v>
      </c>
      <c r="AA14">
        <v>723060.76</v>
      </c>
      <c r="AB14">
        <v>760415.20601181372</v>
      </c>
      <c r="AD14">
        <v>760415.20601181372</v>
      </c>
      <c r="AE14">
        <v>-37354.446011813707</v>
      </c>
      <c r="AH14">
        <v>910791.94</v>
      </c>
      <c r="AI14">
        <v>11230</v>
      </c>
    </row>
    <row r="15" spans="1:35" x14ac:dyDescent="0.45">
      <c r="A15" s="5" t="str">
        <f>'2_Cleaned_Data'!A6</f>
        <v>STR-1001</v>
      </c>
      <c r="B15" s="18">
        <f>'2_Cleaned_Data'!B6</f>
        <v>45748</v>
      </c>
      <c r="C15" s="5" t="str">
        <f>'2_Cleaned_Data'!C6</f>
        <v>East</v>
      </c>
      <c r="D15" s="5" t="str">
        <f>'2_Cleaned_Data'!D6</f>
        <v>Residential</v>
      </c>
      <c r="E15" s="12">
        <f>'2_Cleaned_Data'!M6</f>
        <v>658920.30000000005</v>
      </c>
      <c r="F15" s="12">
        <f>'5_Multiple_Regression'!$B$324+'5_Multiple_Regression'!$B$325*'2_Cleaned_Data'!E6+'5_Multiple_Regression'!$B$326*'2_Cleaned_Data'!F6+'5_Multiple_Regression'!$B$327*'2_Cleaned_Data'!G6+'5_Multiple_Regression'!$B$328*'2_Cleaned_Data'!I6+'5_Multiple_Regression'!$B$329*IF('2_Cleaned_Data'!D6="Airport",1,0)+'5_Multiple_Regression'!$B$330*IF('2_Cleaned_Data'!D6="High Street",1,0)+'5_Multiple_Regression'!$B$331*IF('2_Cleaned_Data'!D6="Mall",1,0)</f>
        <v>758994.28542810038</v>
      </c>
      <c r="G15" s="12">
        <f>E15-F15</f>
        <v>-100073.98542810034</v>
      </c>
      <c r="AA15">
        <v>922168.6</v>
      </c>
      <c r="AB15">
        <v>875463.02730935952</v>
      </c>
      <c r="AD15">
        <v>875463.02730935952</v>
      </c>
      <c r="AE15">
        <v>46705.57269064046</v>
      </c>
      <c r="AH15">
        <v>922168.6</v>
      </c>
      <c r="AI15">
        <v>12775</v>
      </c>
    </row>
    <row r="16" spans="1:35" x14ac:dyDescent="0.45">
      <c r="AA16">
        <v>834017.02</v>
      </c>
      <c r="AB16">
        <v>809037.0553003737</v>
      </c>
      <c r="AD16">
        <v>809037.0553003737</v>
      </c>
      <c r="AE16">
        <v>24979.964699626318</v>
      </c>
      <c r="AH16">
        <v>726606.28</v>
      </c>
      <c r="AI16">
        <v>10054</v>
      </c>
    </row>
    <row r="17" spans="27:35" x14ac:dyDescent="0.45">
      <c r="AA17">
        <v>746501.09</v>
      </c>
      <c r="AB17">
        <v>745291.36662790633</v>
      </c>
      <c r="AD17">
        <v>745291.36662790633</v>
      </c>
      <c r="AE17">
        <v>1209.7233720936347</v>
      </c>
      <c r="AH17">
        <v>746501.09</v>
      </c>
      <c r="AI17">
        <v>8895</v>
      </c>
    </row>
    <row r="18" spans="27:35" x14ac:dyDescent="0.45">
      <c r="AA18">
        <v>726606.28</v>
      </c>
      <c r="AB18">
        <v>772743.45259249862</v>
      </c>
      <c r="AD18">
        <v>772743.45259249862</v>
      </c>
      <c r="AE18">
        <v>-46137.172592498595</v>
      </c>
      <c r="AH18">
        <v>834017.02</v>
      </c>
      <c r="AI18">
        <v>10940</v>
      </c>
    </row>
    <row r="19" spans="27:35" x14ac:dyDescent="0.45">
      <c r="AA19">
        <v>591619.94999999995</v>
      </c>
      <c r="AB19">
        <v>590748.00342681562</v>
      </c>
      <c r="AD19">
        <v>590748.00342681562</v>
      </c>
      <c r="AE19">
        <v>871.94657318433747</v>
      </c>
      <c r="AH19">
        <v>666152.52</v>
      </c>
      <c r="AI19">
        <v>7057</v>
      </c>
    </row>
    <row r="20" spans="27:35" x14ac:dyDescent="0.45">
      <c r="AA20">
        <v>666152.52</v>
      </c>
      <c r="AB20">
        <v>679455.31891691952</v>
      </c>
      <c r="AD20">
        <v>679455.31891691952</v>
      </c>
      <c r="AE20">
        <v>-13302.798916919506</v>
      </c>
      <c r="AH20">
        <v>573155.18999999994</v>
      </c>
      <c r="AI20">
        <v>4263</v>
      </c>
    </row>
    <row r="21" spans="27:35" x14ac:dyDescent="0.45">
      <c r="AA21">
        <v>666573.19999999995</v>
      </c>
      <c r="AB21">
        <v>681628.20991061954</v>
      </c>
      <c r="AD21">
        <v>681628.20991061954</v>
      </c>
      <c r="AE21">
        <v>-15055.009910619585</v>
      </c>
      <c r="AH21">
        <v>666573.19999999995</v>
      </c>
      <c r="AI21">
        <v>5538</v>
      </c>
    </row>
    <row r="22" spans="27:35" x14ac:dyDescent="0.45">
      <c r="AA22">
        <v>573155.18999999994</v>
      </c>
      <c r="AB22">
        <v>591157.93637187465</v>
      </c>
      <c r="AD22">
        <v>591157.93637187465</v>
      </c>
      <c r="AE22">
        <v>-18002.746371874702</v>
      </c>
      <c r="AH22">
        <v>591619.94999999995</v>
      </c>
      <c r="AI22">
        <v>4865</v>
      </c>
    </row>
    <row r="23" spans="27:35" x14ac:dyDescent="0.45">
      <c r="AA23">
        <v>555929.4</v>
      </c>
      <c r="AB23">
        <v>523364.6803755975</v>
      </c>
      <c r="AD23">
        <v>523364.6803755975</v>
      </c>
      <c r="AE23">
        <v>32564.719624402525</v>
      </c>
      <c r="AH23">
        <v>415721.82</v>
      </c>
      <c r="AI23">
        <v>2822</v>
      </c>
    </row>
    <row r="24" spans="27:35" x14ac:dyDescent="0.45">
      <c r="AA24">
        <v>565810.99</v>
      </c>
      <c r="AB24">
        <v>546645.6039331397</v>
      </c>
      <c r="AD24">
        <v>546645.6039331397</v>
      </c>
      <c r="AE24">
        <v>19165.386066860287</v>
      </c>
      <c r="AH24">
        <v>491905.13</v>
      </c>
      <c r="AI24">
        <v>2121</v>
      </c>
    </row>
    <row r="25" spans="27:35" x14ac:dyDescent="0.45">
      <c r="AA25">
        <v>491905.13</v>
      </c>
      <c r="AB25">
        <v>488934.99480881949</v>
      </c>
      <c r="AD25">
        <v>488934.99480881949</v>
      </c>
      <c r="AE25">
        <v>2970.1351911805104</v>
      </c>
      <c r="AH25">
        <v>555929.4</v>
      </c>
      <c r="AI25">
        <v>3364</v>
      </c>
    </row>
    <row r="26" spans="27:35" x14ac:dyDescent="0.45">
      <c r="AA26">
        <v>415721.82</v>
      </c>
      <c r="AB26">
        <v>495424.8737875839</v>
      </c>
      <c r="AD26">
        <v>495424.8737875839</v>
      </c>
      <c r="AE26">
        <v>-79703.053787583893</v>
      </c>
      <c r="AH26">
        <v>565810.99</v>
      </c>
      <c r="AI26">
        <v>2613</v>
      </c>
    </row>
    <row r="27" spans="27:35" x14ac:dyDescent="0.45">
      <c r="AA27">
        <v>701641.97</v>
      </c>
      <c r="AB27">
        <v>699081.66619823163</v>
      </c>
      <c r="AD27">
        <v>699081.66619823163</v>
      </c>
      <c r="AE27">
        <v>2560.303801768343</v>
      </c>
      <c r="AH27">
        <v>811771.14</v>
      </c>
      <c r="AI27">
        <v>10218</v>
      </c>
    </row>
    <row r="28" spans="27:35" x14ac:dyDescent="0.45">
      <c r="AA28">
        <v>783672.82</v>
      </c>
      <c r="AB28">
        <v>791583.94868663419</v>
      </c>
      <c r="AD28">
        <v>791583.94868663419</v>
      </c>
      <c r="AE28">
        <v>-7911.1286866342416</v>
      </c>
      <c r="AH28">
        <v>800451.94</v>
      </c>
      <c r="AI28">
        <v>8927</v>
      </c>
    </row>
    <row r="29" spans="27:35" x14ac:dyDescent="0.45">
      <c r="AA29">
        <v>811771.14</v>
      </c>
      <c r="AB29">
        <v>835507.0228169621</v>
      </c>
      <c r="AD29">
        <v>835507.0228169621</v>
      </c>
      <c r="AE29">
        <v>-23735.882816962083</v>
      </c>
      <c r="AH29">
        <v>783672.82</v>
      </c>
      <c r="AI29">
        <v>9315</v>
      </c>
    </row>
    <row r="30" spans="27:35" x14ac:dyDescent="0.45">
      <c r="AA30">
        <v>800451.94</v>
      </c>
      <c r="AB30">
        <v>900057.34598440863</v>
      </c>
      <c r="AD30">
        <v>900057.34598440863</v>
      </c>
      <c r="AE30">
        <v>-99605.405984408688</v>
      </c>
      <c r="AH30">
        <v>701641.97</v>
      </c>
      <c r="AI30">
        <v>7223</v>
      </c>
    </row>
    <row r="31" spans="27:35" x14ac:dyDescent="0.45">
      <c r="AA31">
        <v>537383.79</v>
      </c>
      <c r="AB31">
        <v>527455.88921792689</v>
      </c>
      <c r="AD31">
        <v>527455.88921792689</v>
      </c>
      <c r="AE31">
        <v>9927.9007820731495</v>
      </c>
      <c r="AH31">
        <v>511844.41</v>
      </c>
      <c r="AI31">
        <v>3988</v>
      </c>
    </row>
    <row r="32" spans="27:35" x14ac:dyDescent="0.45">
      <c r="AA32">
        <v>500173.02</v>
      </c>
      <c r="AB32">
        <v>513595.73383692803</v>
      </c>
      <c r="AD32">
        <v>513595.73383692803</v>
      </c>
      <c r="AE32">
        <v>-13422.713836928015</v>
      </c>
      <c r="AH32">
        <v>537383.79</v>
      </c>
      <c r="AI32">
        <v>2390</v>
      </c>
    </row>
    <row r="33" spans="27:35" x14ac:dyDescent="0.45">
      <c r="AA33">
        <v>427917.38</v>
      </c>
      <c r="AB33">
        <v>496829.62363886414</v>
      </c>
      <c r="AD33">
        <v>496829.62363886414</v>
      </c>
      <c r="AE33">
        <v>-68912.243638864136</v>
      </c>
      <c r="AH33">
        <v>500173.02</v>
      </c>
      <c r="AI33">
        <v>2471</v>
      </c>
    </row>
    <row r="34" spans="27:35" x14ac:dyDescent="0.45">
      <c r="AA34">
        <v>511844.41</v>
      </c>
      <c r="AB34">
        <v>585319.25565598742</v>
      </c>
      <c r="AD34">
        <v>585319.25565598742</v>
      </c>
      <c r="AE34">
        <v>-73474.845655987447</v>
      </c>
      <c r="AH34">
        <v>427917.38</v>
      </c>
      <c r="AI34">
        <v>971</v>
      </c>
    </row>
    <row r="35" spans="27:35" x14ac:dyDescent="0.45">
      <c r="AA35">
        <v>798952.17</v>
      </c>
      <c r="AB35">
        <v>800190.87772998284</v>
      </c>
      <c r="AD35">
        <v>800190.87772998284</v>
      </c>
      <c r="AE35">
        <v>-1238.7077299827943</v>
      </c>
      <c r="AH35">
        <v>641865.03</v>
      </c>
      <c r="AI35">
        <v>9429</v>
      </c>
    </row>
    <row r="36" spans="27:35" x14ac:dyDescent="0.45">
      <c r="AA36">
        <v>800979.78</v>
      </c>
      <c r="AB36">
        <v>816815.48515656893</v>
      </c>
      <c r="AD36">
        <v>816815.48515656893</v>
      </c>
      <c r="AE36">
        <v>-15835.705156568903</v>
      </c>
      <c r="AH36">
        <v>798952.17</v>
      </c>
      <c r="AI36">
        <v>9449</v>
      </c>
    </row>
    <row r="37" spans="27:35" x14ac:dyDescent="0.45">
      <c r="AA37">
        <v>641865.03</v>
      </c>
      <c r="AB37">
        <v>743673.68683792849</v>
      </c>
      <c r="AD37">
        <v>743673.68683792849</v>
      </c>
      <c r="AE37">
        <v>-101808.65683792846</v>
      </c>
      <c r="AH37">
        <v>800979.78</v>
      </c>
      <c r="AI37">
        <v>10453</v>
      </c>
    </row>
    <row r="38" spans="27:35" x14ac:dyDescent="0.45">
      <c r="AA38">
        <v>820593.93</v>
      </c>
      <c r="AB38">
        <v>778049.02713872376</v>
      </c>
      <c r="AD38">
        <v>778049.02713872376</v>
      </c>
      <c r="AE38">
        <v>42544.902861276292</v>
      </c>
      <c r="AH38">
        <v>820593.93</v>
      </c>
      <c r="AI38">
        <v>8838</v>
      </c>
    </row>
    <row r="39" spans="27:35" x14ac:dyDescent="0.45">
      <c r="AA39">
        <v>828623.85</v>
      </c>
      <c r="AB39">
        <v>834980.79314007843</v>
      </c>
      <c r="AD39">
        <v>834980.79314007843</v>
      </c>
      <c r="AE39">
        <v>-6356.9431400784524</v>
      </c>
      <c r="AH39">
        <v>718330.53</v>
      </c>
      <c r="AI39">
        <v>8156</v>
      </c>
    </row>
    <row r="40" spans="27:35" x14ac:dyDescent="0.45">
      <c r="AA40">
        <v>736633.4</v>
      </c>
      <c r="AB40">
        <v>749966.53772669239</v>
      </c>
      <c r="AD40">
        <v>749966.53772669239</v>
      </c>
      <c r="AE40">
        <v>-13333.137726692366</v>
      </c>
      <c r="AH40">
        <v>736633.4</v>
      </c>
      <c r="AI40">
        <v>7562</v>
      </c>
    </row>
    <row r="41" spans="27:35" x14ac:dyDescent="0.45">
      <c r="AA41">
        <v>718330.53</v>
      </c>
      <c r="AB41">
        <v>763095.50698127272</v>
      </c>
      <c r="AD41">
        <v>763095.50698127272</v>
      </c>
      <c r="AE41">
        <v>-44764.976981272688</v>
      </c>
      <c r="AH41">
        <v>828623.85</v>
      </c>
      <c r="AI41">
        <v>9598</v>
      </c>
    </row>
    <row r="42" spans="27:35" x14ac:dyDescent="0.45">
      <c r="AA42">
        <v>657429.18000000005</v>
      </c>
      <c r="AB42">
        <v>598084.84011575521</v>
      </c>
      <c r="AD42">
        <v>598084.84011575521</v>
      </c>
      <c r="AE42">
        <v>59344.339884244837</v>
      </c>
      <c r="AH42">
        <v>592195.85</v>
      </c>
      <c r="AI42">
        <v>3660</v>
      </c>
    </row>
    <row r="43" spans="27:35" x14ac:dyDescent="0.45">
      <c r="AA43">
        <v>532644.46</v>
      </c>
      <c r="AB43">
        <v>531161.68490750156</v>
      </c>
      <c r="AD43">
        <v>531161.68490750156</v>
      </c>
      <c r="AE43">
        <v>1482.7750924983993</v>
      </c>
      <c r="AH43">
        <v>532644.46</v>
      </c>
      <c r="AI43">
        <v>3227</v>
      </c>
    </row>
    <row r="44" spans="27:35" x14ac:dyDescent="0.45">
      <c r="AA44">
        <v>592195.85</v>
      </c>
      <c r="AB44">
        <v>591047.13291479531</v>
      </c>
      <c r="AD44">
        <v>591047.13291479531</v>
      </c>
      <c r="AE44">
        <v>1148.7170852046693</v>
      </c>
      <c r="AH44">
        <v>657429.18000000005</v>
      </c>
      <c r="AI44">
        <v>3360</v>
      </c>
    </row>
    <row r="45" spans="27:35" x14ac:dyDescent="0.45">
      <c r="AA45">
        <v>605178</v>
      </c>
      <c r="AB45">
        <v>608554.16507824184</v>
      </c>
      <c r="AD45">
        <v>608554.16507824184</v>
      </c>
      <c r="AE45">
        <v>-3376.1650782418437</v>
      </c>
      <c r="AH45">
        <v>605178</v>
      </c>
      <c r="AI45">
        <v>3642</v>
      </c>
    </row>
    <row r="46" spans="27:35" x14ac:dyDescent="0.45">
      <c r="AA46">
        <v>614800.09</v>
      </c>
      <c r="AB46">
        <v>574835.56032868603</v>
      </c>
      <c r="AD46">
        <v>574835.56032868603</v>
      </c>
      <c r="AE46">
        <v>39964.52967131394</v>
      </c>
      <c r="AH46">
        <v>595467.6</v>
      </c>
      <c r="AI46">
        <v>5145</v>
      </c>
    </row>
    <row r="47" spans="27:35" x14ac:dyDescent="0.45">
      <c r="AA47">
        <v>585365.73</v>
      </c>
      <c r="AB47">
        <v>564236.82828119781</v>
      </c>
      <c r="AD47">
        <v>564236.82828119781</v>
      </c>
      <c r="AE47">
        <v>21128.901718802168</v>
      </c>
      <c r="AH47">
        <v>599603.4</v>
      </c>
      <c r="AI47">
        <v>4460</v>
      </c>
    </row>
    <row r="48" spans="27:35" x14ac:dyDescent="0.45">
      <c r="AA48">
        <v>599603.4</v>
      </c>
      <c r="AB48">
        <v>627879.16029933072</v>
      </c>
      <c r="AD48">
        <v>627879.16029933072</v>
      </c>
      <c r="AE48">
        <v>-28275.760299330694</v>
      </c>
      <c r="AH48">
        <v>614800.09</v>
      </c>
      <c r="AI48">
        <v>3804</v>
      </c>
    </row>
    <row r="49" spans="27:35" x14ac:dyDescent="0.45">
      <c r="AA49">
        <v>595467.6</v>
      </c>
      <c r="AB49">
        <v>718262.01528030937</v>
      </c>
      <c r="AD49">
        <v>718262.01528030937</v>
      </c>
      <c r="AE49">
        <v>-122794.41528030939</v>
      </c>
      <c r="AH49">
        <v>585365.73</v>
      </c>
      <c r="AI49">
        <v>4074</v>
      </c>
    </row>
    <row r="50" spans="27:35" x14ac:dyDescent="0.45">
      <c r="AA50">
        <v>773815.14</v>
      </c>
      <c r="AB50">
        <v>743255.96750289341</v>
      </c>
      <c r="AD50">
        <v>743255.96750289341</v>
      </c>
      <c r="AE50">
        <v>30559.1724971066</v>
      </c>
      <c r="AH50">
        <v>622811.74</v>
      </c>
      <c r="AI50">
        <v>5104</v>
      </c>
    </row>
    <row r="51" spans="27:35" x14ac:dyDescent="0.45">
      <c r="AA51">
        <v>603297.56999999995</v>
      </c>
      <c r="AB51">
        <v>597252.55909291189</v>
      </c>
      <c r="AD51">
        <v>597252.55909291189</v>
      </c>
      <c r="AE51">
        <v>6045.0109070880571</v>
      </c>
      <c r="AH51">
        <v>603297.56999999995</v>
      </c>
      <c r="AI51">
        <v>5559</v>
      </c>
    </row>
    <row r="52" spans="27:35" x14ac:dyDescent="0.45">
      <c r="AA52">
        <v>625672.86</v>
      </c>
      <c r="AB52">
        <v>619644.97603527387</v>
      </c>
      <c r="AD52">
        <v>619644.97603527387</v>
      </c>
      <c r="AE52">
        <v>6027.8839647261193</v>
      </c>
      <c r="AH52">
        <v>625672.86</v>
      </c>
      <c r="AI52">
        <v>5150</v>
      </c>
    </row>
    <row r="53" spans="27:35" x14ac:dyDescent="0.45">
      <c r="AA53">
        <v>622811.74</v>
      </c>
      <c r="AB53">
        <v>658493.76564467512</v>
      </c>
      <c r="AD53">
        <v>658493.76564467512</v>
      </c>
      <c r="AE53">
        <v>-35682.02564467513</v>
      </c>
      <c r="AH53">
        <v>773815.14</v>
      </c>
      <c r="AI53">
        <v>7189</v>
      </c>
    </row>
    <row r="54" spans="27:35" x14ac:dyDescent="0.45">
      <c r="AA54">
        <v>720852.5</v>
      </c>
      <c r="AB54">
        <v>675099.64692927094</v>
      </c>
      <c r="AD54">
        <v>675099.64692927094</v>
      </c>
      <c r="AE54">
        <v>45752.853070729063</v>
      </c>
      <c r="AH54">
        <v>463534.25</v>
      </c>
      <c r="AI54">
        <v>3279</v>
      </c>
    </row>
    <row r="55" spans="27:35" x14ac:dyDescent="0.45">
      <c r="AA55">
        <v>746677.75</v>
      </c>
      <c r="AB55">
        <v>702889.25299004896</v>
      </c>
      <c r="AD55">
        <v>702889.25299004896</v>
      </c>
      <c r="AE55">
        <v>43788.497009951039</v>
      </c>
      <c r="AH55">
        <v>746677.75</v>
      </c>
      <c r="AI55">
        <v>5887</v>
      </c>
    </row>
    <row r="56" spans="27:35" x14ac:dyDescent="0.45">
      <c r="AA56">
        <v>487464.91</v>
      </c>
      <c r="AB56">
        <v>529002.04539008299</v>
      </c>
      <c r="AD56">
        <v>529002.04539008299</v>
      </c>
      <c r="AE56">
        <v>-41537.135390083014</v>
      </c>
      <c r="AH56">
        <v>720852.5</v>
      </c>
      <c r="AI56">
        <v>5516</v>
      </c>
    </row>
    <row r="57" spans="27:35" x14ac:dyDescent="0.45">
      <c r="AA57">
        <v>463534.25</v>
      </c>
      <c r="AB57">
        <v>557761.75134332268</v>
      </c>
      <c r="AD57">
        <v>557761.75134332268</v>
      </c>
      <c r="AE57">
        <v>-94227.501343322685</v>
      </c>
      <c r="AH57">
        <v>487464.91</v>
      </c>
      <c r="AI57">
        <v>2863</v>
      </c>
    </row>
    <row r="58" spans="27:35" x14ac:dyDescent="0.45">
      <c r="AA58">
        <v>518049.26</v>
      </c>
      <c r="AB58">
        <v>544532.19252380321</v>
      </c>
      <c r="AD58">
        <v>544532.19252380321</v>
      </c>
      <c r="AE58">
        <v>-26482.932523803203</v>
      </c>
      <c r="AH58">
        <v>518049.26</v>
      </c>
      <c r="AI58">
        <v>2378</v>
      </c>
    </row>
    <row r="59" spans="27:35" x14ac:dyDescent="0.45">
      <c r="AA59">
        <v>500298.48</v>
      </c>
      <c r="AB59">
        <v>540455.24573573109</v>
      </c>
      <c r="AD59">
        <v>540455.24573573109</v>
      </c>
      <c r="AE59">
        <v>-40156.765735731111</v>
      </c>
      <c r="AH59">
        <v>500298.48</v>
      </c>
      <c r="AI59">
        <v>2515</v>
      </c>
    </row>
    <row r="60" spans="27:35" x14ac:dyDescent="0.45">
      <c r="AA60">
        <v>617291.15</v>
      </c>
      <c r="AB60">
        <v>686316.45948599116</v>
      </c>
      <c r="AD60">
        <v>686316.45948599116</v>
      </c>
      <c r="AE60">
        <v>-69025.309485991136</v>
      </c>
      <c r="AH60">
        <v>617291.15</v>
      </c>
      <c r="AI60">
        <v>4022</v>
      </c>
    </row>
    <row r="61" spans="27:35" x14ac:dyDescent="0.45">
      <c r="AA61">
        <v>553756.43000000005</v>
      </c>
      <c r="AB61">
        <v>628283.33081554633</v>
      </c>
      <c r="AD61">
        <v>628283.33081554633</v>
      </c>
      <c r="AE61">
        <v>-74526.90081554628</v>
      </c>
      <c r="AH61">
        <v>553756.43000000005</v>
      </c>
      <c r="AI61">
        <v>4377</v>
      </c>
    </row>
    <row r="62" spans="27:35" x14ac:dyDescent="0.45">
      <c r="AA62">
        <v>749559.71</v>
      </c>
      <c r="AB62">
        <v>684560.40657651925</v>
      </c>
      <c r="AD62">
        <v>684560.40657651925</v>
      </c>
      <c r="AE62">
        <v>64999.303423480713</v>
      </c>
      <c r="AH62">
        <v>749559.71</v>
      </c>
      <c r="AI62">
        <v>5306</v>
      </c>
    </row>
    <row r="63" spans="27:35" x14ac:dyDescent="0.45">
      <c r="AA63">
        <v>615966.48</v>
      </c>
      <c r="AB63">
        <v>568210.22021022788</v>
      </c>
      <c r="AD63">
        <v>568210.22021022788</v>
      </c>
      <c r="AE63">
        <v>47756.259789772099</v>
      </c>
      <c r="AH63">
        <v>615966.48</v>
      </c>
      <c r="AI63">
        <v>3928</v>
      </c>
    </row>
    <row r="64" spans="27:35" x14ac:dyDescent="0.45">
      <c r="AA64">
        <v>761860.19</v>
      </c>
      <c r="AB64">
        <v>716489.69496199198</v>
      </c>
      <c r="AD64">
        <v>716489.69496199198</v>
      </c>
      <c r="AE64">
        <v>45370.495038007968</v>
      </c>
      <c r="AH64">
        <v>572011.19999999995</v>
      </c>
      <c r="AI64">
        <v>3845</v>
      </c>
    </row>
    <row r="65" spans="27:35" x14ac:dyDescent="0.45">
      <c r="AA65">
        <v>572011.19999999995</v>
      </c>
      <c r="AB65">
        <v>584714.3617251321</v>
      </c>
      <c r="AD65">
        <v>584714.3617251321</v>
      </c>
      <c r="AE65">
        <v>-12703.161725132144</v>
      </c>
      <c r="AH65">
        <v>761860.19</v>
      </c>
      <c r="AI65">
        <v>6620</v>
      </c>
    </row>
    <row r="66" spans="27:35" x14ac:dyDescent="0.45">
      <c r="AA66">
        <v>740496.65</v>
      </c>
      <c r="AB66">
        <v>733270.10574678017</v>
      </c>
      <c r="AD66">
        <v>733270.10574678017</v>
      </c>
      <c r="AE66">
        <v>7226.5442532198504</v>
      </c>
      <c r="AH66">
        <v>784502.68</v>
      </c>
      <c r="AI66">
        <v>9175</v>
      </c>
    </row>
    <row r="67" spans="27:35" x14ac:dyDescent="0.45">
      <c r="AA67">
        <v>717141.55</v>
      </c>
      <c r="AB67">
        <v>733953.44407373562</v>
      </c>
      <c r="AD67">
        <v>733953.44407373562</v>
      </c>
      <c r="AE67">
        <v>-16811.894073735573</v>
      </c>
      <c r="AH67">
        <v>717141.55</v>
      </c>
      <c r="AI67">
        <v>7940</v>
      </c>
    </row>
    <row r="68" spans="27:35" x14ac:dyDescent="0.45">
      <c r="AA68">
        <v>784502.68</v>
      </c>
      <c r="AB68">
        <v>805104.00936383859</v>
      </c>
      <c r="AD68">
        <v>805104.00936383859</v>
      </c>
      <c r="AE68">
        <v>-20601.329363838537</v>
      </c>
      <c r="AH68">
        <v>685379.08</v>
      </c>
      <c r="AI68">
        <v>9628</v>
      </c>
    </row>
    <row r="69" spans="27:35" x14ac:dyDescent="0.45">
      <c r="AA69">
        <v>685379.08</v>
      </c>
      <c r="AB69">
        <v>842418.23363628529</v>
      </c>
      <c r="AD69">
        <v>842418.23363628529</v>
      </c>
      <c r="AE69">
        <v>-157039.15363628534</v>
      </c>
      <c r="AH69">
        <v>740496.65</v>
      </c>
      <c r="AI69">
        <v>8296</v>
      </c>
    </row>
    <row r="70" spans="27:35" x14ac:dyDescent="0.45">
      <c r="AA70">
        <v>661927.14</v>
      </c>
      <c r="AB70">
        <v>599298.56094203133</v>
      </c>
      <c r="AD70">
        <v>599298.56094203133</v>
      </c>
      <c r="AE70">
        <v>62628.579057968687</v>
      </c>
      <c r="AH70">
        <v>661927.14</v>
      </c>
      <c r="AI70">
        <v>3595</v>
      </c>
    </row>
    <row r="71" spans="27:35" x14ac:dyDescent="0.45">
      <c r="AA71">
        <v>605023.87</v>
      </c>
      <c r="AB71">
        <v>599279.77308147738</v>
      </c>
      <c r="AD71">
        <v>599279.77308147738</v>
      </c>
      <c r="AE71">
        <v>5744.0969185226131</v>
      </c>
      <c r="AH71">
        <v>479050.5</v>
      </c>
      <c r="AI71">
        <v>2834</v>
      </c>
    </row>
    <row r="72" spans="27:35" x14ac:dyDescent="0.45">
      <c r="AA72">
        <v>479050.5</v>
      </c>
      <c r="AB72">
        <v>511362.27951093687</v>
      </c>
      <c r="AD72">
        <v>511362.27951093687</v>
      </c>
      <c r="AE72">
        <v>-32311.779510936874</v>
      </c>
      <c r="AH72">
        <v>605023.87</v>
      </c>
      <c r="AI72">
        <v>3193</v>
      </c>
    </row>
    <row r="73" spans="27:35" x14ac:dyDescent="0.45">
      <c r="AA73">
        <v>788087.68</v>
      </c>
      <c r="AB73">
        <v>701799.37304050883</v>
      </c>
      <c r="AD73">
        <v>701799.37304050883</v>
      </c>
      <c r="AE73">
        <v>86288.306959491223</v>
      </c>
      <c r="AH73">
        <v>616069.41</v>
      </c>
      <c r="AI73">
        <v>5918</v>
      </c>
    </row>
    <row r="74" spans="27:35" x14ac:dyDescent="0.45">
      <c r="AA74">
        <v>616069.41</v>
      </c>
      <c r="AB74">
        <v>598461.1041366061</v>
      </c>
      <c r="AD74">
        <v>598461.1041366061</v>
      </c>
      <c r="AE74">
        <v>17608.305863393936</v>
      </c>
      <c r="AH74">
        <v>630829.93999999994</v>
      </c>
      <c r="AI74">
        <v>6821</v>
      </c>
    </row>
    <row r="75" spans="27:35" x14ac:dyDescent="0.45">
      <c r="AA75">
        <v>680840.36</v>
      </c>
      <c r="AB75">
        <v>713506.29456356529</v>
      </c>
      <c r="AD75">
        <v>713506.29456356529</v>
      </c>
      <c r="AE75">
        <v>-32665.934563565301</v>
      </c>
      <c r="AH75">
        <v>788087.68</v>
      </c>
      <c r="AI75">
        <v>6806</v>
      </c>
    </row>
    <row r="76" spans="27:35" x14ac:dyDescent="0.45">
      <c r="AA76">
        <v>630829.93999999994</v>
      </c>
      <c r="AB76">
        <v>693507.5697905398</v>
      </c>
      <c r="AD76">
        <v>693507.5697905398</v>
      </c>
      <c r="AE76">
        <v>-62677.629790539853</v>
      </c>
      <c r="AH76">
        <v>680840.36</v>
      </c>
      <c r="AI76">
        <v>8252</v>
      </c>
    </row>
    <row r="77" spans="27:35" x14ac:dyDescent="0.45">
      <c r="AA77">
        <v>776922.17</v>
      </c>
      <c r="AB77">
        <v>723786.75157900911</v>
      </c>
      <c r="AD77">
        <v>723786.75157900911</v>
      </c>
      <c r="AE77">
        <v>53135.418420990929</v>
      </c>
      <c r="AH77">
        <v>643657.47</v>
      </c>
      <c r="AI77">
        <v>6662</v>
      </c>
    </row>
    <row r="78" spans="27:35" x14ac:dyDescent="0.45">
      <c r="AA78">
        <v>691112.6</v>
      </c>
      <c r="AB78">
        <v>654419.14807726408</v>
      </c>
      <c r="AD78">
        <v>654419.14807726408</v>
      </c>
      <c r="AE78">
        <v>36693.451922735898</v>
      </c>
      <c r="AH78">
        <v>691112.6</v>
      </c>
      <c r="AI78">
        <v>5962</v>
      </c>
    </row>
    <row r="79" spans="27:35" x14ac:dyDescent="0.45">
      <c r="AA79">
        <v>643657.47</v>
      </c>
      <c r="AB79">
        <v>656707.36224000889</v>
      </c>
      <c r="AD79">
        <v>656707.36224000889</v>
      </c>
      <c r="AE79">
        <v>-13049.892240008921</v>
      </c>
      <c r="AH79">
        <v>776922.17</v>
      </c>
      <c r="AI79">
        <v>7470</v>
      </c>
    </row>
    <row r="80" spans="27:35" x14ac:dyDescent="0.45">
      <c r="AA80">
        <v>636561.34</v>
      </c>
      <c r="AB80">
        <v>660041.49328012741</v>
      </c>
      <c r="AD80">
        <v>660041.49328012741</v>
      </c>
      <c r="AE80">
        <v>-23480.153280127444</v>
      </c>
      <c r="AH80">
        <v>636561.34</v>
      </c>
      <c r="AI80">
        <v>5974</v>
      </c>
    </row>
    <row r="81" spans="27:35" x14ac:dyDescent="0.45">
      <c r="AA81">
        <v>727241.86</v>
      </c>
      <c r="AB81">
        <v>645886.73892839125</v>
      </c>
      <c r="AD81">
        <v>645886.73892839125</v>
      </c>
      <c r="AE81">
        <v>81355.121071608737</v>
      </c>
      <c r="AH81">
        <v>621369.57999999996</v>
      </c>
      <c r="AI81">
        <v>5410</v>
      </c>
    </row>
    <row r="82" spans="27:35" x14ac:dyDescent="0.45">
      <c r="AA82">
        <v>682208.01</v>
      </c>
      <c r="AB82">
        <v>631816.41321414616</v>
      </c>
      <c r="AD82">
        <v>631816.41321414616</v>
      </c>
      <c r="AE82">
        <v>50391.59678585385</v>
      </c>
      <c r="AH82">
        <v>682208.01</v>
      </c>
      <c r="AI82">
        <v>4451</v>
      </c>
    </row>
    <row r="83" spans="27:35" x14ac:dyDescent="0.45">
      <c r="AA83">
        <v>569100.78</v>
      </c>
      <c r="AB83">
        <v>560320.72095591621</v>
      </c>
      <c r="AD83">
        <v>560320.72095591621</v>
      </c>
      <c r="AE83">
        <v>8780.0590440838132</v>
      </c>
      <c r="AH83">
        <v>727241.86</v>
      </c>
      <c r="AI83">
        <v>4644</v>
      </c>
    </row>
    <row r="84" spans="27:35" x14ac:dyDescent="0.45">
      <c r="AA84">
        <v>621369.57999999996</v>
      </c>
      <c r="AB84">
        <v>643742.09122758335</v>
      </c>
      <c r="AD84">
        <v>643742.09122758335</v>
      </c>
      <c r="AE84">
        <v>-22372.511227583396</v>
      </c>
      <c r="AH84">
        <v>569100.78</v>
      </c>
      <c r="AI84">
        <v>3559</v>
      </c>
    </row>
    <row r="85" spans="27:35" x14ac:dyDescent="0.45">
      <c r="AA85">
        <v>574436.29</v>
      </c>
      <c r="AB85">
        <v>556182.66131709854</v>
      </c>
      <c r="AD85">
        <v>556182.66131709854</v>
      </c>
      <c r="AE85">
        <v>18253.628682901501</v>
      </c>
      <c r="AH85">
        <v>574436.29</v>
      </c>
      <c r="AI85">
        <v>3091</v>
      </c>
    </row>
    <row r="86" spans="27:35" x14ac:dyDescent="0.45">
      <c r="AA86">
        <v>450711.92</v>
      </c>
      <c r="AB86">
        <v>453228.3787597121</v>
      </c>
      <c r="AD86">
        <v>453228.3787597121</v>
      </c>
      <c r="AE86">
        <v>-2516.4587597121135</v>
      </c>
      <c r="AH86">
        <v>614596.31999999995</v>
      </c>
      <c r="AI86">
        <v>3788</v>
      </c>
    </row>
    <row r="87" spans="27:35" x14ac:dyDescent="0.45">
      <c r="AA87">
        <v>614596.31999999995</v>
      </c>
      <c r="AB87">
        <v>617515.764042511</v>
      </c>
      <c r="AD87">
        <v>617515.764042511</v>
      </c>
      <c r="AE87">
        <v>-2919.4440425110515</v>
      </c>
      <c r="AH87">
        <v>450711.92</v>
      </c>
      <c r="AI87">
        <v>1260</v>
      </c>
    </row>
    <row r="88" spans="27:35" x14ac:dyDescent="0.45">
      <c r="AA88">
        <v>711213.46</v>
      </c>
      <c r="AB88">
        <v>680697.71825130878</v>
      </c>
      <c r="AD88">
        <v>680697.71825130878</v>
      </c>
      <c r="AE88">
        <v>30515.741748691187</v>
      </c>
      <c r="AH88">
        <v>711213.46</v>
      </c>
      <c r="AI88">
        <v>7024</v>
      </c>
    </row>
    <row r="89" spans="27:35" x14ac:dyDescent="0.45">
      <c r="AA89">
        <v>586307.22</v>
      </c>
      <c r="AB89">
        <v>561384.91894297034</v>
      </c>
      <c r="AD89">
        <v>561384.91894297034</v>
      </c>
      <c r="AE89">
        <v>24922.301057029632</v>
      </c>
      <c r="AH89">
        <v>627171.9</v>
      </c>
      <c r="AI89">
        <v>5400</v>
      </c>
    </row>
    <row r="90" spans="27:35" x14ac:dyDescent="0.45">
      <c r="AA90">
        <v>739852.58</v>
      </c>
      <c r="AB90">
        <v>717581.96346834966</v>
      </c>
      <c r="AD90">
        <v>717581.96346834966</v>
      </c>
      <c r="AE90">
        <v>22270.616531650303</v>
      </c>
      <c r="AH90">
        <v>739852.58</v>
      </c>
      <c r="AI90">
        <v>5988</v>
      </c>
    </row>
    <row r="91" spans="27:35" x14ac:dyDescent="0.45">
      <c r="AA91">
        <v>627171.9</v>
      </c>
      <c r="AB91">
        <v>754728.7747576714</v>
      </c>
      <c r="AD91">
        <v>754728.7747576714</v>
      </c>
      <c r="AE91">
        <v>-127556.87475767138</v>
      </c>
      <c r="AH91">
        <v>586307.22</v>
      </c>
      <c r="AI91">
        <v>3701</v>
      </c>
    </row>
    <row r="92" spans="27:35" x14ac:dyDescent="0.45">
      <c r="AA92">
        <v>838250.32</v>
      </c>
      <c r="AB92">
        <v>760356.59322693397</v>
      </c>
      <c r="AD92">
        <v>760356.59322693397</v>
      </c>
      <c r="AE92">
        <v>77893.726773065981</v>
      </c>
      <c r="AH92">
        <v>585937.48</v>
      </c>
      <c r="AI92">
        <v>4509</v>
      </c>
    </row>
    <row r="93" spans="27:35" x14ac:dyDescent="0.45">
      <c r="AA93">
        <v>753473.55</v>
      </c>
      <c r="AB93">
        <v>690914.04870514385</v>
      </c>
      <c r="AD93">
        <v>690914.04870514385</v>
      </c>
      <c r="AE93">
        <v>62559.501294856193</v>
      </c>
      <c r="AH93">
        <v>753473.55</v>
      </c>
      <c r="AI93">
        <v>6477</v>
      </c>
    </row>
    <row r="94" spans="27:35" x14ac:dyDescent="0.45">
      <c r="AA94">
        <v>585937.48</v>
      </c>
      <c r="AB94">
        <v>581891.21821975091</v>
      </c>
      <c r="AD94">
        <v>581891.21821975091</v>
      </c>
      <c r="AE94">
        <v>4046.2617802490713</v>
      </c>
      <c r="AH94">
        <v>838250.32</v>
      </c>
      <c r="AI94">
        <v>7970</v>
      </c>
    </row>
    <row r="95" spans="27:35" x14ac:dyDescent="0.45">
      <c r="AA95">
        <v>607898.12</v>
      </c>
      <c r="AB95">
        <v>614623.58136303793</v>
      </c>
      <c r="AD95">
        <v>614623.58136303793</v>
      </c>
      <c r="AE95">
        <v>-6725.4613630379317</v>
      </c>
      <c r="AH95">
        <v>607898.12</v>
      </c>
      <c r="AI95">
        <v>6057</v>
      </c>
    </row>
    <row r="96" spans="27:35" x14ac:dyDescent="0.45">
      <c r="AA96">
        <v>735509.4</v>
      </c>
      <c r="AB96">
        <v>661657.28899823455</v>
      </c>
      <c r="AD96">
        <v>661657.28899823455</v>
      </c>
      <c r="AE96">
        <v>73852.111001765472</v>
      </c>
      <c r="AH96">
        <v>691113.62</v>
      </c>
      <c r="AI96">
        <v>6394</v>
      </c>
    </row>
    <row r="97" spans="27:35" x14ac:dyDescent="0.45">
      <c r="AA97">
        <v>675177.68</v>
      </c>
      <c r="AB97">
        <v>652212.07631029864</v>
      </c>
      <c r="AD97">
        <v>652212.07631029864</v>
      </c>
      <c r="AE97">
        <v>22965.603689701413</v>
      </c>
      <c r="AH97">
        <v>735509.4</v>
      </c>
      <c r="AI97">
        <v>5150</v>
      </c>
    </row>
    <row r="98" spans="27:35" x14ac:dyDescent="0.45">
      <c r="AA98">
        <v>691113.62</v>
      </c>
      <c r="AB98">
        <v>698010.7561379862</v>
      </c>
      <c r="AD98">
        <v>698010.7561379862</v>
      </c>
      <c r="AE98">
        <v>-6897.1361379862064</v>
      </c>
      <c r="AH98">
        <v>675177.68</v>
      </c>
      <c r="AI98">
        <v>5281</v>
      </c>
    </row>
    <row r="99" spans="27:35" x14ac:dyDescent="0.45">
      <c r="AA99">
        <v>625514.04</v>
      </c>
      <c r="AB99">
        <v>538285.80404746474</v>
      </c>
      <c r="AD99">
        <v>538285.80404746474</v>
      </c>
      <c r="AE99">
        <v>87228.235952535295</v>
      </c>
      <c r="AH99">
        <v>635181.35</v>
      </c>
      <c r="AI99">
        <v>3642</v>
      </c>
    </row>
    <row r="100" spans="27:35" x14ac:dyDescent="0.45">
      <c r="AA100">
        <v>635181.35</v>
      </c>
      <c r="AB100">
        <v>598008.62319744984</v>
      </c>
      <c r="AD100">
        <v>598008.62319744984</v>
      </c>
      <c r="AE100">
        <v>37172.72680255014</v>
      </c>
      <c r="AH100">
        <v>586626.93999999994</v>
      </c>
      <c r="AI100">
        <v>4373</v>
      </c>
    </row>
    <row r="101" spans="27:35" x14ac:dyDescent="0.45">
      <c r="AA101">
        <v>740102.64</v>
      </c>
      <c r="AB101">
        <v>715522.86121019861</v>
      </c>
      <c r="AD101">
        <v>715522.86121019861</v>
      </c>
      <c r="AE101">
        <v>24579.778789801407</v>
      </c>
      <c r="AH101">
        <v>740102.64</v>
      </c>
      <c r="AI101">
        <v>6832</v>
      </c>
    </row>
    <row r="102" spans="27:35" x14ac:dyDescent="0.45">
      <c r="AA102">
        <v>586626.93999999994</v>
      </c>
      <c r="AB102">
        <v>630152.64280054881</v>
      </c>
      <c r="AD102">
        <v>630152.64280054881</v>
      </c>
      <c r="AE102">
        <v>-43525.702800548868</v>
      </c>
      <c r="AH102">
        <v>625514.04</v>
      </c>
      <c r="AI102">
        <v>2414</v>
      </c>
    </row>
    <row r="103" spans="27:35" x14ac:dyDescent="0.45">
      <c r="AA103">
        <v>795153.84</v>
      </c>
      <c r="AB103">
        <v>720854.41437855747</v>
      </c>
      <c r="AD103">
        <v>720854.41437855747</v>
      </c>
      <c r="AE103">
        <v>74299.425621442497</v>
      </c>
      <c r="AH103">
        <v>727227.2</v>
      </c>
      <c r="AI103">
        <v>7374</v>
      </c>
    </row>
    <row r="104" spans="27:35" x14ac:dyDescent="0.45">
      <c r="AA104">
        <v>727227.2</v>
      </c>
      <c r="AB104">
        <v>694564.52517497889</v>
      </c>
      <c r="AD104">
        <v>694564.52517497889</v>
      </c>
      <c r="AE104">
        <v>32662.674825021066</v>
      </c>
      <c r="AH104">
        <v>783797.89</v>
      </c>
      <c r="AI104">
        <v>8739</v>
      </c>
    </row>
    <row r="105" spans="27:35" x14ac:dyDescent="0.45">
      <c r="AA105">
        <v>665594.93999999994</v>
      </c>
      <c r="AB105">
        <v>670433.24664047046</v>
      </c>
      <c r="AD105">
        <v>670433.24664047046</v>
      </c>
      <c r="AE105">
        <v>-4838.3066404705169</v>
      </c>
      <c r="AH105">
        <v>795153.84</v>
      </c>
      <c r="AI105">
        <v>6992</v>
      </c>
    </row>
    <row r="106" spans="27:35" x14ac:dyDescent="0.45">
      <c r="AA106">
        <v>783797.89</v>
      </c>
      <c r="AB106">
        <v>789249.26759276842</v>
      </c>
      <c r="AD106">
        <v>789249.26759276842</v>
      </c>
      <c r="AE106">
        <v>-5451.3775927684037</v>
      </c>
      <c r="AH106">
        <v>665594.93999999994</v>
      </c>
      <c r="AI106">
        <v>7107</v>
      </c>
    </row>
    <row r="107" spans="27:35" x14ac:dyDescent="0.45">
      <c r="AA107">
        <v>713611.16</v>
      </c>
      <c r="AB107">
        <v>617601.62540410273</v>
      </c>
      <c r="AD107">
        <v>617601.62540410273</v>
      </c>
      <c r="AE107">
        <v>96009.534595897305</v>
      </c>
      <c r="AH107">
        <v>709478.39</v>
      </c>
      <c r="AI107">
        <v>6975</v>
      </c>
    </row>
    <row r="108" spans="27:35" x14ac:dyDescent="0.45">
      <c r="AA108">
        <v>709478.39</v>
      </c>
      <c r="AB108">
        <v>685691.24389949115</v>
      </c>
      <c r="AD108">
        <v>685691.24389949115</v>
      </c>
      <c r="AE108">
        <v>23787.146100508864</v>
      </c>
      <c r="AH108">
        <v>664162.49</v>
      </c>
      <c r="AI108">
        <v>5493</v>
      </c>
    </row>
    <row r="109" spans="27:35" x14ac:dyDescent="0.45">
      <c r="AA109">
        <v>664162.49</v>
      </c>
      <c r="AB109">
        <v>657734.96733361809</v>
      </c>
      <c r="AD109">
        <v>657734.96733361809</v>
      </c>
      <c r="AE109">
        <v>6427.5226663819049</v>
      </c>
      <c r="AH109">
        <v>633494.21</v>
      </c>
      <c r="AI109">
        <v>5686</v>
      </c>
    </row>
    <row r="110" spans="27:35" x14ac:dyDescent="0.45">
      <c r="AA110">
        <v>633494.21</v>
      </c>
      <c r="AB110">
        <v>663369.31791159732</v>
      </c>
      <c r="AD110">
        <v>663369.31791159732</v>
      </c>
      <c r="AE110">
        <v>-29875.107911597355</v>
      </c>
      <c r="AH110">
        <v>713611.16</v>
      </c>
      <c r="AI110">
        <v>4063</v>
      </c>
    </row>
    <row r="111" spans="27:35" x14ac:dyDescent="0.45">
      <c r="AA111">
        <v>873380.02</v>
      </c>
      <c r="AB111">
        <v>834582.01496444643</v>
      </c>
      <c r="AD111">
        <v>834582.01496444643</v>
      </c>
      <c r="AE111">
        <v>38798.005035553593</v>
      </c>
      <c r="AH111">
        <v>778397.97</v>
      </c>
      <c r="AI111">
        <v>8966</v>
      </c>
    </row>
    <row r="112" spans="27:35" x14ac:dyDescent="0.45">
      <c r="AA112">
        <v>778397.97</v>
      </c>
      <c r="AB112">
        <v>743012.59351590974</v>
      </c>
      <c r="AD112">
        <v>743012.59351590974</v>
      </c>
      <c r="AE112">
        <v>35385.376484090229</v>
      </c>
      <c r="AH112">
        <v>873380.02</v>
      </c>
      <c r="AI112">
        <v>9489</v>
      </c>
    </row>
    <row r="113" spans="27:35" x14ac:dyDescent="0.45">
      <c r="AA113">
        <v>718074.79</v>
      </c>
      <c r="AB113">
        <v>758658.7774177161</v>
      </c>
      <c r="AD113">
        <v>758658.7774177161</v>
      </c>
      <c r="AE113">
        <v>-40583.987417716067</v>
      </c>
      <c r="AH113">
        <v>697287.9</v>
      </c>
      <c r="AI113">
        <v>9225</v>
      </c>
    </row>
    <row r="114" spans="27:35" x14ac:dyDescent="0.45">
      <c r="AA114">
        <v>697287.9</v>
      </c>
      <c r="AB114">
        <v>754045.81305337581</v>
      </c>
      <c r="AD114">
        <v>754045.81305337581</v>
      </c>
      <c r="AE114">
        <v>-56757.913053375785</v>
      </c>
      <c r="AH114">
        <v>718074.79</v>
      </c>
      <c r="AI114">
        <v>9249</v>
      </c>
    </row>
    <row r="115" spans="27:35" x14ac:dyDescent="0.45">
      <c r="AA115">
        <v>820519.04</v>
      </c>
      <c r="AB115">
        <v>717684.65941515507</v>
      </c>
      <c r="AD115">
        <v>717684.65941515507</v>
      </c>
      <c r="AE115">
        <v>102834.38058484497</v>
      </c>
      <c r="AH115">
        <v>714942.43</v>
      </c>
      <c r="AI115">
        <v>7821</v>
      </c>
    </row>
    <row r="116" spans="27:35" x14ac:dyDescent="0.45">
      <c r="AA116">
        <v>714942.43</v>
      </c>
      <c r="AB116">
        <v>698603.13245635713</v>
      </c>
      <c r="AD116">
        <v>698603.13245635713</v>
      </c>
      <c r="AE116">
        <v>16339.297543642926</v>
      </c>
      <c r="AH116">
        <v>820519.04</v>
      </c>
      <c r="AI116">
        <v>8434</v>
      </c>
    </row>
    <row r="117" spans="27:35" x14ac:dyDescent="0.45">
      <c r="AA117">
        <v>735480.19</v>
      </c>
      <c r="AB117">
        <v>722567.72079411568</v>
      </c>
      <c r="AD117">
        <v>722567.72079411568</v>
      </c>
      <c r="AE117">
        <v>12912.469205884263</v>
      </c>
      <c r="AH117">
        <v>684217.32</v>
      </c>
      <c r="AI117">
        <v>8512</v>
      </c>
    </row>
    <row r="118" spans="27:35" x14ac:dyDescent="0.45">
      <c r="AA118">
        <v>684217.32</v>
      </c>
      <c r="AB118">
        <v>739781.87682617689</v>
      </c>
      <c r="AD118">
        <v>739781.87682617689</v>
      </c>
      <c r="AE118">
        <v>-55564.556826176937</v>
      </c>
      <c r="AH118">
        <v>735480.19</v>
      </c>
      <c r="AI118">
        <v>7816</v>
      </c>
    </row>
    <row r="119" spans="27:35" x14ac:dyDescent="0.45">
      <c r="AA119">
        <v>654317.09</v>
      </c>
      <c r="AB119">
        <v>625645.86278929317</v>
      </c>
      <c r="AD119">
        <v>625645.86278929317</v>
      </c>
      <c r="AE119">
        <v>28671.227210706798</v>
      </c>
      <c r="AH119">
        <v>509484.81</v>
      </c>
      <c r="AI119">
        <v>3853</v>
      </c>
    </row>
    <row r="120" spans="27:35" x14ac:dyDescent="0.45">
      <c r="AA120">
        <v>557487.26</v>
      </c>
      <c r="AB120">
        <v>595758.30845812359</v>
      </c>
      <c r="AD120">
        <v>595758.30845812359</v>
      </c>
      <c r="AE120">
        <v>-38271.04845812358</v>
      </c>
      <c r="AH120">
        <v>654317.09</v>
      </c>
      <c r="AI120">
        <v>3694</v>
      </c>
    </row>
    <row r="121" spans="27:35" x14ac:dyDescent="0.45">
      <c r="AA121">
        <v>509484.81</v>
      </c>
      <c r="AB121">
        <v>562734.03600250324</v>
      </c>
      <c r="AD121">
        <v>562734.03600250324</v>
      </c>
      <c r="AE121">
        <v>-53249.226002503245</v>
      </c>
      <c r="AH121">
        <v>557487.26</v>
      </c>
      <c r="AI121">
        <v>4423</v>
      </c>
    </row>
    <row r="122" spans="27:35" x14ac:dyDescent="0.45">
      <c r="AA122">
        <v>441275.42</v>
      </c>
      <c r="AB122">
        <v>503413.61676376651</v>
      </c>
      <c r="AD122">
        <v>503413.61676376651</v>
      </c>
      <c r="AE122">
        <v>-62138.196763766522</v>
      </c>
      <c r="AH122">
        <v>441275.42</v>
      </c>
      <c r="AI122">
        <v>1906</v>
      </c>
    </row>
    <row r="123" spans="27:35" x14ac:dyDescent="0.45">
      <c r="AA123">
        <v>914544.17</v>
      </c>
      <c r="AB123">
        <v>815637.1127957087</v>
      </c>
      <c r="AD123">
        <v>815637.1127957087</v>
      </c>
      <c r="AE123">
        <v>98907.057204291341</v>
      </c>
      <c r="AH123">
        <v>914544.17</v>
      </c>
      <c r="AI123">
        <v>10396</v>
      </c>
    </row>
    <row r="124" spans="27:35" x14ac:dyDescent="0.45">
      <c r="AA124">
        <v>842157.92</v>
      </c>
      <c r="AB124">
        <v>778126.63377041975</v>
      </c>
      <c r="AD124">
        <v>778126.63377041975</v>
      </c>
      <c r="AE124">
        <v>64031.286229580292</v>
      </c>
      <c r="AH124">
        <v>842439.67</v>
      </c>
      <c r="AI124">
        <v>11076</v>
      </c>
    </row>
    <row r="125" spans="27:35" x14ac:dyDescent="0.45">
      <c r="AA125">
        <v>697155.3</v>
      </c>
      <c r="AB125">
        <v>697808.70618626603</v>
      </c>
      <c r="AD125">
        <v>697808.70618626603</v>
      </c>
      <c r="AE125">
        <v>-653.40618626598734</v>
      </c>
      <c r="AH125">
        <v>842157.92</v>
      </c>
      <c r="AI125">
        <v>9574</v>
      </c>
    </row>
    <row r="126" spans="27:35" x14ac:dyDescent="0.45">
      <c r="AA126">
        <v>842439.67</v>
      </c>
      <c r="AB126">
        <v>844955.19222115201</v>
      </c>
      <c r="AD126">
        <v>844955.19222115201</v>
      </c>
      <c r="AE126">
        <v>-2515.5222211519722</v>
      </c>
      <c r="AH126">
        <v>697155.3</v>
      </c>
      <c r="AI126">
        <v>8221</v>
      </c>
    </row>
    <row r="127" spans="27:35" x14ac:dyDescent="0.45">
      <c r="AA127">
        <v>849018.3</v>
      </c>
      <c r="AB127">
        <v>828115.09897931817</v>
      </c>
      <c r="AD127">
        <v>828115.09897931817</v>
      </c>
      <c r="AE127">
        <v>20903.201020681881</v>
      </c>
      <c r="AH127">
        <v>849018.3</v>
      </c>
      <c r="AI127">
        <v>10618</v>
      </c>
    </row>
    <row r="128" spans="27:35" x14ac:dyDescent="0.45">
      <c r="AA128">
        <v>801830.35</v>
      </c>
      <c r="AB128">
        <v>806352.75341152074</v>
      </c>
      <c r="AD128">
        <v>806352.75341152074</v>
      </c>
      <c r="AE128">
        <v>-4522.4034115207614</v>
      </c>
      <c r="AH128">
        <v>801830.35</v>
      </c>
      <c r="AI128">
        <v>10596</v>
      </c>
    </row>
    <row r="129" spans="27:35" x14ac:dyDescent="0.45">
      <c r="AA129">
        <v>811452.72</v>
      </c>
      <c r="AB129">
        <v>829195.44374767866</v>
      </c>
      <c r="AD129">
        <v>829195.44374767866</v>
      </c>
      <c r="AE129">
        <v>-17742.723747678683</v>
      </c>
      <c r="AH129">
        <v>725235.28</v>
      </c>
      <c r="AI129">
        <v>9619</v>
      </c>
    </row>
    <row r="130" spans="27:35" x14ac:dyDescent="0.45">
      <c r="AA130">
        <v>725235.28</v>
      </c>
      <c r="AB130">
        <v>791951.00288520951</v>
      </c>
      <c r="AD130">
        <v>791951.00288520951</v>
      </c>
      <c r="AE130">
        <v>-66715.722885209485</v>
      </c>
      <c r="AH130">
        <v>811452.72</v>
      </c>
      <c r="AI130">
        <v>10836</v>
      </c>
    </row>
    <row r="131" spans="27:35" x14ac:dyDescent="0.45">
      <c r="AA131">
        <v>593247.25</v>
      </c>
      <c r="AB131">
        <v>600275.44295120216</v>
      </c>
      <c r="AD131">
        <v>600275.44295120216</v>
      </c>
      <c r="AE131">
        <v>-7028.1929512021597</v>
      </c>
      <c r="AH131">
        <v>527300.13</v>
      </c>
      <c r="AI131">
        <v>3043</v>
      </c>
    </row>
    <row r="132" spans="27:35" x14ac:dyDescent="0.45">
      <c r="AA132">
        <v>529075.94999999995</v>
      </c>
      <c r="AB132">
        <v>544140.17103983089</v>
      </c>
      <c r="AD132">
        <v>544140.17103983089</v>
      </c>
      <c r="AE132">
        <v>-15064.22103983094</v>
      </c>
      <c r="AH132">
        <v>593247.25</v>
      </c>
      <c r="AI132">
        <v>3618</v>
      </c>
    </row>
    <row r="133" spans="27:35" x14ac:dyDescent="0.45">
      <c r="AA133">
        <v>527300.13</v>
      </c>
      <c r="AB133">
        <v>580474.79527390422</v>
      </c>
      <c r="AD133">
        <v>580474.79527390422</v>
      </c>
      <c r="AE133">
        <v>-53174.665273904218</v>
      </c>
      <c r="AH133">
        <v>529075.94999999995</v>
      </c>
      <c r="AI133">
        <v>1963</v>
      </c>
    </row>
    <row r="134" spans="27:35" x14ac:dyDescent="0.45">
      <c r="AA134">
        <v>758827.64</v>
      </c>
      <c r="AB134">
        <v>685770.74828052986</v>
      </c>
      <c r="AD134">
        <v>685770.74828052986</v>
      </c>
      <c r="AE134">
        <v>73056.89171947015</v>
      </c>
      <c r="AH134">
        <v>743348.84</v>
      </c>
      <c r="AI134">
        <v>6244</v>
      </c>
    </row>
    <row r="135" spans="27:35" x14ac:dyDescent="0.45">
      <c r="AA135">
        <v>743348.84</v>
      </c>
      <c r="AB135">
        <v>703016.60102513852</v>
      </c>
      <c r="AD135">
        <v>703016.60102513852</v>
      </c>
      <c r="AE135">
        <v>40332.238974861451</v>
      </c>
      <c r="AH135">
        <v>758827.64</v>
      </c>
      <c r="AI135">
        <v>6544</v>
      </c>
    </row>
    <row r="136" spans="27:35" x14ac:dyDescent="0.45">
      <c r="AA136">
        <v>646559.71</v>
      </c>
      <c r="AB136">
        <v>617377.69042521226</v>
      </c>
      <c r="AD136">
        <v>617377.69042521226</v>
      </c>
      <c r="AE136">
        <v>29182.019574787701</v>
      </c>
      <c r="AH136">
        <v>646559.71</v>
      </c>
      <c r="AI136">
        <v>5465</v>
      </c>
    </row>
    <row r="137" spans="27:35" x14ac:dyDescent="0.45">
      <c r="AA137">
        <v>715890.53</v>
      </c>
      <c r="AB137">
        <v>666551.58502366696</v>
      </c>
      <c r="AD137">
        <v>666551.58502366696</v>
      </c>
      <c r="AE137">
        <v>49338.944976333063</v>
      </c>
      <c r="AH137">
        <v>715890.53</v>
      </c>
      <c r="AI137">
        <v>6427</v>
      </c>
    </row>
    <row r="138" spans="27:35" x14ac:dyDescent="0.45">
      <c r="AA138">
        <v>682639.28</v>
      </c>
      <c r="AB138">
        <v>639666.28961342538</v>
      </c>
      <c r="AD138">
        <v>639666.28961342538</v>
      </c>
      <c r="AE138">
        <v>42972.990386574646</v>
      </c>
      <c r="AH138">
        <v>715097.57</v>
      </c>
      <c r="AI138">
        <v>6704</v>
      </c>
    </row>
    <row r="139" spans="27:35" x14ac:dyDescent="0.45">
      <c r="AA139">
        <v>695098.51</v>
      </c>
      <c r="AB139">
        <v>671232.02593595372</v>
      </c>
      <c r="AD139">
        <v>671232.02593595372</v>
      </c>
      <c r="AE139">
        <v>23866.484064046293</v>
      </c>
      <c r="AH139">
        <v>682639.28</v>
      </c>
      <c r="AI139">
        <v>5645</v>
      </c>
    </row>
    <row r="140" spans="27:35" x14ac:dyDescent="0.45">
      <c r="AA140">
        <v>715097.57</v>
      </c>
      <c r="AB140">
        <v>694954.19849143713</v>
      </c>
      <c r="AD140">
        <v>694954.19849143713</v>
      </c>
      <c r="AE140">
        <v>20143.371508562821</v>
      </c>
      <c r="AH140">
        <v>695098.51</v>
      </c>
      <c r="AI140">
        <v>6089</v>
      </c>
    </row>
    <row r="141" spans="27:35" x14ac:dyDescent="0.45">
      <c r="AA141">
        <v>570964.84</v>
      </c>
      <c r="AB141">
        <v>567548.20885901467</v>
      </c>
      <c r="AD141">
        <v>567548.20885901467</v>
      </c>
      <c r="AE141">
        <v>3416.6311409852933</v>
      </c>
      <c r="AH141">
        <v>577732.56999999995</v>
      </c>
      <c r="AI141">
        <v>4312</v>
      </c>
    </row>
    <row r="142" spans="27:35" x14ac:dyDescent="0.45">
      <c r="AA142">
        <v>601568.87</v>
      </c>
      <c r="AB142">
        <v>599574.98386611324</v>
      </c>
      <c r="AD142">
        <v>599574.98386611324</v>
      </c>
      <c r="AE142">
        <v>1993.8861338867573</v>
      </c>
      <c r="AH142">
        <v>537058.32999999996</v>
      </c>
      <c r="AI142">
        <v>3152</v>
      </c>
    </row>
    <row r="143" spans="27:35" x14ac:dyDescent="0.45">
      <c r="AA143">
        <v>537058.32999999996</v>
      </c>
      <c r="AB143">
        <v>564675.45761086326</v>
      </c>
      <c r="AD143">
        <v>564675.45761086326</v>
      </c>
      <c r="AE143">
        <v>-27617.127610863303</v>
      </c>
      <c r="AH143">
        <v>601568.87</v>
      </c>
      <c r="AI143">
        <v>4259</v>
      </c>
    </row>
    <row r="144" spans="27:35" x14ac:dyDescent="0.45">
      <c r="AA144">
        <v>577732.56999999995</v>
      </c>
      <c r="AB144">
        <v>610678.16592448554</v>
      </c>
      <c r="AD144">
        <v>610678.16592448554</v>
      </c>
      <c r="AE144">
        <v>-32945.595924485591</v>
      </c>
      <c r="AH144">
        <v>570964.84</v>
      </c>
      <c r="AI144">
        <v>3350</v>
      </c>
    </row>
    <row r="145" spans="27:35" x14ac:dyDescent="0.45">
      <c r="AA145">
        <v>696744.15</v>
      </c>
      <c r="AB145">
        <v>668012.44015233335</v>
      </c>
      <c r="AD145">
        <v>668012.44015233335</v>
      </c>
      <c r="AE145">
        <v>28731.709847666672</v>
      </c>
      <c r="AH145">
        <v>614024.91</v>
      </c>
      <c r="AI145">
        <v>5329</v>
      </c>
    </row>
    <row r="146" spans="27:35" x14ac:dyDescent="0.45">
      <c r="AA146">
        <v>725847.99</v>
      </c>
      <c r="AB146">
        <v>701734.7508913991</v>
      </c>
      <c r="AD146">
        <v>701734.7508913991</v>
      </c>
      <c r="AE146">
        <v>24113.239108600887</v>
      </c>
      <c r="AH146">
        <v>712868.35</v>
      </c>
      <c r="AI146">
        <v>6551</v>
      </c>
    </row>
    <row r="147" spans="27:35" x14ac:dyDescent="0.45">
      <c r="AA147">
        <v>712868.35</v>
      </c>
      <c r="AB147">
        <v>711563.04171411158</v>
      </c>
      <c r="AD147">
        <v>711563.04171411158</v>
      </c>
      <c r="AE147">
        <v>1305.3082858884009</v>
      </c>
      <c r="AH147">
        <v>696744.15</v>
      </c>
      <c r="AI147">
        <v>5550</v>
      </c>
    </row>
    <row r="148" spans="27:35" x14ac:dyDescent="0.45">
      <c r="AA148">
        <v>614024.91</v>
      </c>
      <c r="AB148">
        <v>649139.66697740415</v>
      </c>
      <c r="AD148">
        <v>649139.66697740415</v>
      </c>
      <c r="AE148">
        <v>-35114.756977404119</v>
      </c>
      <c r="AH148">
        <v>725847.99</v>
      </c>
      <c r="AI148">
        <v>5911</v>
      </c>
    </row>
    <row r="149" spans="27:35" x14ac:dyDescent="0.45">
      <c r="AA149">
        <v>698492.67</v>
      </c>
      <c r="AB149">
        <v>690499.32692025951</v>
      </c>
      <c r="AD149">
        <v>690499.32692025951</v>
      </c>
      <c r="AE149">
        <v>7993.3430797405308</v>
      </c>
      <c r="AH149">
        <v>785028.25</v>
      </c>
      <c r="AI149">
        <v>9674</v>
      </c>
    </row>
    <row r="150" spans="27:35" x14ac:dyDescent="0.45">
      <c r="AA150">
        <v>702318.94</v>
      </c>
      <c r="AB150">
        <v>705140.72773865634</v>
      </c>
      <c r="AD150">
        <v>705140.72773865634</v>
      </c>
      <c r="AE150">
        <v>-2821.7877386563923</v>
      </c>
      <c r="AH150">
        <v>698492.67</v>
      </c>
      <c r="AI150">
        <v>6740</v>
      </c>
    </row>
    <row r="151" spans="27:35" x14ac:dyDescent="0.45">
      <c r="AA151">
        <v>785028.25</v>
      </c>
      <c r="AB151">
        <v>799837.59555853193</v>
      </c>
      <c r="AD151">
        <v>799837.59555853193</v>
      </c>
      <c r="AE151">
        <v>-14809.345558531932</v>
      </c>
      <c r="AH151">
        <v>685830.24</v>
      </c>
      <c r="AI151">
        <v>7745</v>
      </c>
    </row>
    <row r="152" spans="27:35" x14ac:dyDescent="0.45">
      <c r="AA152">
        <v>685830.24</v>
      </c>
      <c r="AB152">
        <v>730153.37082283094</v>
      </c>
      <c r="AD152">
        <v>730153.37082283094</v>
      </c>
      <c r="AE152">
        <v>-44323.13082283095</v>
      </c>
      <c r="AH152">
        <v>702318.94</v>
      </c>
      <c r="AI152">
        <v>7693</v>
      </c>
    </row>
    <row r="153" spans="27:35" x14ac:dyDescent="0.45">
      <c r="AA153">
        <v>724216.07</v>
      </c>
      <c r="AB153">
        <v>666802.54832612909</v>
      </c>
      <c r="AD153">
        <v>666802.54832612909</v>
      </c>
      <c r="AE153">
        <v>57413.521673870855</v>
      </c>
      <c r="AH153">
        <v>700078.32</v>
      </c>
      <c r="AI153">
        <v>6424</v>
      </c>
    </row>
    <row r="154" spans="27:35" x14ac:dyDescent="0.45">
      <c r="AA154">
        <v>620973.03</v>
      </c>
      <c r="AB154">
        <v>574288.46421221225</v>
      </c>
      <c r="AD154">
        <v>574288.46421221225</v>
      </c>
      <c r="AE154">
        <v>46684.565787787782</v>
      </c>
      <c r="AH154">
        <v>602002.31999999995</v>
      </c>
      <c r="AI154">
        <v>5400</v>
      </c>
    </row>
    <row r="155" spans="27:35" x14ac:dyDescent="0.45">
      <c r="AA155">
        <v>700078.32</v>
      </c>
      <c r="AB155">
        <v>718219.54737613257</v>
      </c>
      <c r="AD155">
        <v>718219.54737613257</v>
      </c>
      <c r="AE155">
        <v>-18141.227376132621</v>
      </c>
      <c r="AH155">
        <v>724216.07</v>
      </c>
      <c r="AI155">
        <v>7015</v>
      </c>
    </row>
    <row r="156" spans="27:35" x14ac:dyDescent="0.45">
      <c r="AA156">
        <v>602002.31999999995</v>
      </c>
      <c r="AB156">
        <v>646544.38119292702</v>
      </c>
      <c r="AD156">
        <v>646544.38119292702</v>
      </c>
      <c r="AE156">
        <v>-44542.061192927067</v>
      </c>
      <c r="AH156">
        <v>620973.03</v>
      </c>
      <c r="AI156">
        <v>3847</v>
      </c>
    </row>
    <row r="157" spans="27:35" x14ac:dyDescent="0.45">
      <c r="AA157">
        <v>778298.88</v>
      </c>
      <c r="AB157">
        <v>698981.91598304233</v>
      </c>
      <c r="AD157">
        <v>698981.91598304233</v>
      </c>
      <c r="AE157">
        <v>79316.964016957674</v>
      </c>
      <c r="AH157">
        <v>650480.06000000006</v>
      </c>
      <c r="AI157">
        <v>7455</v>
      </c>
    </row>
    <row r="158" spans="27:35" x14ac:dyDescent="0.45">
      <c r="AA158">
        <v>692008.64</v>
      </c>
      <c r="AB158">
        <v>694615.77323458262</v>
      </c>
      <c r="AD158">
        <v>694615.77323458262</v>
      </c>
      <c r="AE158">
        <v>-2607.1332345826086</v>
      </c>
      <c r="AH158">
        <v>778298.88</v>
      </c>
      <c r="AI158">
        <v>6992</v>
      </c>
    </row>
    <row r="159" spans="27:35" x14ac:dyDescent="0.45">
      <c r="AA159">
        <v>650480.06000000006</v>
      </c>
      <c r="AB159">
        <v>696327.66509251192</v>
      </c>
      <c r="AD159">
        <v>696327.66509251192</v>
      </c>
      <c r="AE159">
        <v>-45847.605092511862</v>
      </c>
      <c r="AH159">
        <v>692008.64</v>
      </c>
      <c r="AI159">
        <v>6055</v>
      </c>
    </row>
    <row r="160" spans="27:35" x14ac:dyDescent="0.45">
      <c r="AA160">
        <v>825797.91</v>
      </c>
      <c r="AB160">
        <v>786680.72156135086</v>
      </c>
      <c r="AD160">
        <v>786680.72156135086</v>
      </c>
      <c r="AE160">
        <v>39117.188438649173</v>
      </c>
      <c r="AH160">
        <v>825797.91</v>
      </c>
      <c r="AI160">
        <v>9323</v>
      </c>
    </row>
    <row r="161" spans="27:35" x14ac:dyDescent="0.45">
      <c r="AA161">
        <v>820729.29</v>
      </c>
      <c r="AB161">
        <v>817361.34773197595</v>
      </c>
      <c r="AD161">
        <v>817361.34773197595</v>
      </c>
      <c r="AE161">
        <v>3367.9422680240823</v>
      </c>
      <c r="AH161">
        <v>706285.52</v>
      </c>
      <c r="AI161">
        <v>8789</v>
      </c>
    </row>
    <row r="162" spans="27:35" x14ac:dyDescent="0.45">
      <c r="AA162">
        <v>665534.69999999995</v>
      </c>
      <c r="AB162">
        <v>682447.39209999528</v>
      </c>
      <c r="AD162">
        <v>682447.39209999528</v>
      </c>
      <c r="AE162">
        <v>-16912.692099995329</v>
      </c>
      <c r="AH162">
        <v>665534.69999999995</v>
      </c>
      <c r="AI162">
        <v>6939</v>
      </c>
    </row>
    <row r="163" spans="27:35" x14ac:dyDescent="0.45">
      <c r="AA163">
        <v>706285.52</v>
      </c>
      <c r="AB163">
        <v>736796.91312731337</v>
      </c>
      <c r="AD163">
        <v>736796.91312731337</v>
      </c>
      <c r="AE163">
        <v>-30511.393127313349</v>
      </c>
      <c r="AH163">
        <v>820729.29</v>
      </c>
      <c r="AI163">
        <v>9440</v>
      </c>
    </row>
    <row r="164" spans="27:35" x14ac:dyDescent="0.45">
      <c r="AA164">
        <v>769702.76</v>
      </c>
      <c r="AB164">
        <v>728774.71607679396</v>
      </c>
      <c r="AD164">
        <v>728774.71607679396</v>
      </c>
      <c r="AE164">
        <v>40928.043923206045</v>
      </c>
      <c r="AH164">
        <v>739831.73</v>
      </c>
      <c r="AI164">
        <v>9374</v>
      </c>
    </row>
    <row r="165" spans="27:35" x14ac:dyDescent="0.45">
      <c r="AA165">
        <v>679731.57</v>
      </c>
      <c r="AB165">
        <v>685805.0500182379</v>
      </c>
      <c r="AD165">
        <v>685805.0500182379</v>
      </c>
      <c r="AE165">
        <v>-6073.4800182379549</v>
      </c>
      <c r="AH165">
        <v>593637.14</v>
      </c>
      <c r="AI165">
        <v>7576</v>
      </c>
    </row>
    <row r="166" spans="27:35" x14ac:dyDescent="0.45">
      <c r="AA166">
        <v>739831.73</v>
      </c>
      <c r="AB166">
        <v>764007.36293236609</v>
      </c>
      <c r="AD166">
        <v>764007.36293236609</v>
      </c>
      <c r="AE166">
        <v>-24175.632932366105</v>
      </c>
      <c r="AH166">
        <v>769702.76</v>
      </c>
      <c r="AI166">
        <v>8949</v>
      </c>
    </row>
    <row r="167" spans="27:35" x14ac:dyDescent="0.45">
      <c r="AA167">
        <v>593637.14</v>
      </c>
      <c r="AB167">
        <v>663149.21954115399</v>
      </c>
      <c r="AD167">
        <v>663149.21954115399</v>
      </c>
      <c r="AE167">
        <v>-69512.079541153973</v>
      </c>
      <c r="AH167">
        <v>679731.57</v>
      </c>
      <c r="AI167">
        <v>7671</v>
      </c>
    </row>
    <row r="168" spans="27:35" x14ac:dyDescent="0.45">
      <c r="AA168">
        <v>780344.18</v>
      </c>
      <c r="AB168">
        <v>765921.52601025812</v>
      </c>
      <c r="AD168">
        <v>765921.52601025812</v>
      </c>
      <c r="AE168">
        <v>14422.653989741928</v>
      </c>
      <c r="AH168">
        <v>780344.18</v>
      </c>
      <c r="AI168">
        <v>8741</v>
      </c>
    </row>
    <row r="169" spans="27:35" x14ac:dyDescent="0.45">
      <c r="AA169">
        <v>804264</v>
      </c>
      <c r="AB169">
        <v>817672.16246907832</v>
      </c>
      <c r="AD169">
        <v>817672.16246907832</v>
      </c>
      <c r="AE169">
        <v>-13408.162469078321</v>
      </c>
      <c r="AH169">
        <v>721364.11</v>
      </c>
      <c r="AI169">
        <v>9480</v>
      </c>
    </row>
    <row r="170" spans="27:35" x14ac:dyDescent="0.45">
      <c r="AA170">
        <v>758138.29</v>
      </c>
      <c r="AB170">
        <v>777694.08400791511</v>
      </c>
      <c r="AD170">
        <v>777694.08400791511</v>
      </c>
      <c r="AE170">
        <v>-19555.794007915072</v>
      </c>
      <c r="AH170">
        <v>758138.29</v>
      </c>
      <c r="AI170">
        <v>9826</v>
      </c>
    </row>
    <row r="171" spans="27:35" x14ac:dyDescent="0.45">
      <c r="AA171">
        <v>721364.11</v>
      </c>
      <c r="AB171">
        <v>752994.76930727798</v>
      </c>
      <c r="AD171">
        <v>752994.76930727798</v>
      </c>
      <c r="AE171">
        <v>-31630.659307277994</v>
      </c>
      <c r="AH171">
        <v>804264</v>
      </c>
      <c r="AI171">
        <v>10402</v>
      </c>
    </row>
    <row r="172" spans="27:35" x14ac:dyDescent="0.45">
      <c r="AA172">
        <v>783582</v>
      </c>
      <c r="AB172">
        <v>722093.60308266233</v>
      </c>
      <c r="AD172">
        <v>722093.60308266233</v>
      </c>
      <c r="AE172">
        <v>61488.396917337668</v>
      </c>
      <c r="AH172">
        <v>887537.75</v>
      </c>
      <c r="AI172">
        <v>12361</v>
      </c>
    </row>
    <row r="173" spans="27:35" x14ac:dyDescent="0.45">
      <c r="AA173">
        <v>898031.04</v>
      </c>
      <c r="AB173">
        <v>849733.57431079785</v>
      </c>
      <c r="AD173">
        <v>849733.57431079785</v>
      </c>
      <c r="AE173">
        <v>48297.465689202189</v>
      </c>
      <c r="AH173">
        <v>783582</v>
      </c>
      <c r="AI173">
        <v>7925</v>
      </c>
    </row>
    <row r="174" spans="27:35" x14ac:dyDescent="0.45">
      <c r="AA174">
        <v>781955.52</v>
      </c>
      <c r="AB174">
        <v>761929.59279228712</v>
      </c>
      <c r="AD174">
        <v>761929.59279228712</v>
      </c>
      <c r="AE174">
        <v>20025.927207712899</v>
      </c>
      <c r="AH174">
        <v>781955.52</v>
      </c>
      <c r="AI174">
        <v>8870</v>
      </c>
    </row>
    <row r="175" spans="27:35" x14ac:dyDescent="0.45">
      <c r="AA175">
        <v>887537.75</v>
      </c>
      <c r="AB175">
        <v>882044.75540927495</v>
      </c>
      <c r="AD175">
        <v>882044.75540927495</v>
      </c>
      <c r="AE175">
        <v>5492.9945907250512</v>
      </c>
      <c r="AH175">
        <v>898031.04</v>
      </c>
      <c r="AI175">
        <v>9999</v>
      </c>
    </row>
    <row r="176" spans="27:35" x14ac:dyDescent="0.45">
      <c r="AA176">
        <v>751393.88</v>
      </c>
      <c r="AB176">
        <v>739268.50648130756</v>
      </c>
      <c r="AD176">
        <v>739268.50648130756</v>
      </c>
      <c r="AE176">
        <v>12125.373518692446</v>
      </c>
      <c r="AH176">
        <v>855341.28</v>
      </c>
      <c r="AI176">
        <v>11154</v>
      </c>
    </row>
    <row r="177" spans="27:35" x14ac:dyDescent="0.45">
      <c r="AA177">
        <v>855341.28</v>
      </c>
      <c r="AB177">
        <v>845016.26617562852</v>
      </c>
      <c r="AD177">
        <v>845016.26617562852</v>
      </c>
      <c r="AE177">
        <v>10325.013824371505</v>
      </c>
      <c r="AH177">
        <v>751393.88</v>
      </c>
      <c r="AI177">
        <v>9287</v>
      </c>
    </row>
    <row r="178" spans="27:35" x14ac:dyDescent="0.45">
      <c r="AA178">
        <v>761077.08</v>
      </c>
      <c r="AB178">
        <v>751970.43677227572</v>
      </c>
      <c r="AD178">
        <v>751970.43677227572</v>
      </c>
      <c r="AE178">
        <v>9106.643227724242</v>
      </c>
      <c r="AH178">
        <v>761077.08</v>
      </c>
      <c r="AI178">
        <v>9812</v>
      </c>
    </row>
    <row r="179" spans="27:35" x14ac:dyDescent="0.45">
      <c r="AA179">
        <v>819660.59</v>
      </c>
      <c r="AB179">
        <v>817177.14574193442</v>
      </c>
      <c r="AD179">
        <v>817177.14574193442</v>
      </c>
      <c r="AE179">
        <v>2483.444258065545</v>
      </c>
      <c r="AH179">
        <v>819660.59</v>
      </c>
      <c r="AI179">
        <v>10741</v>
      </c>
    </row>
    <row r="180" spans="27:35" x14ac:dyDescent="0.45">
      <c r="AA180">
        <v>765906.95</v>
      </c>
      <c r="AB180">
        <v>703342.23896795465</v>
      </c>
      <c r="AD180">
        <v>703342.23896795465</v>
      </c>
      <c r="AE180">
        <v>62564.711032045307</v>
      </c>
      <c r="AH180">
        <v>681855.56</v>
      </c>
      <c r="AI180">
        <v>6084</v>
      </c>
    </row>
    <row r="181" spans="27:35" x14ac:dyDescent="0.45">
      <c r="AA181">
        <v>678311.17</v>
      </c>
      <c r="AB181">
        <v>656537.0557640153</v>
      </c>
      <c r="AD181">
        <v>656537.0557640153</v>
      </c>
      <c r="AE181">
        <v>21774.114235984744</v>
      </c>
      <c r="AH181">
        <v>678311.17</v>
      </c>
      <c r="AI181">
        <v>5252</v>
      </c>
    </row>
    <row r="182" spans="27:35" x14ac:dyDescent="0.45">
      <c r="AA182">
        <v>712546.38</v>
      </c>
      <c r="AB182">
        <v>710163.06790622498</v>
      </c>
      <c r="AD182">
        <v>710163.06790622498</v>
      </c>
      <c r="AE182">
        <v>2383.3120937750209</v>
      </c>
      <c r="AH182">
        <v>765906.95</v>
      </c>
      <c r="AI182">
        <v>6516</v>
      </c>
    </row>
    <row r="183" spans="27:35" x14ac:dyDescent="0.45">
      <c r="AA183">
        <v>681855.56</v>
      </c>
      <c r="AB183">
        <v>701358.20411156002</v>
      </c>
      <c r="AD183">
        <v>701358.20411156002</v>
      </c>
      <c r="AE183">
        <v>-19502.644111559959</v>
      </c>
      <c r="AH183">
        <v>712546.38</v>
      </c>
      <c r="AI183">
        <v>7932</v>
      </c>
    </row>
    <row r="184" spans="27:35" x14ac:dyDescent="0.45">
      <c r="AA184">
        <v>625993.82999999996</v>
      </c>
      <c r="AB184">
        <v>597611.57762669981</v>
      </c>
      <c r="AD184">
        <v>597611.57762669981</v>
      </c>
      <c r="AE184">
        <v>28382.252373300144</v>
      </c>
      <c r="AH184">
        <v>625993.82999999996</v>
      </c>
      <c r="AI184">
        <v>3506</v>
      </c>
    </row>
    <row r="185" spans="27:35" x14ac:dyDescent="0.45">
      <c r="AA185">
        <v>550962.93000000005</v>
      </c>
      <c r="AB185">
        <v>549809.63887717365</v>
      </c>
      <c r="AD185">
        <v>549809.63887717365</v>
      </c>
      <c r="AE185">
        <v>1153.2911228263984</v>
      </c>
      <c r="AH185">
        <v>550962.93000000005</v>
      </c>
      <c r="AI185">
        <v>2312</v>
      </c>
    </row>
    <row r="186" spans="27:35" x14ac:dyDescent="0.45">
      <c r="AA186">
        <v>443275.59</v>
      </c>
      <c r="AB186">
        <v>462630.05013568053</v>
      </c>
      <c r="AD186">
        <v>462630.05013568053</v>
      </c>
      <c r="AE186">
        <v>-19354.460135680507</v>
      </c>
      <c r="AH186">
        <v>443275.59</v>
      </c>
      <c r="AI186">
        <v>1268</v>
      </c>
    </row>
    <row r="187" spans="27:35" x14ac:dyDescent="0.45">
      <c r="AA187">
        <v>554012.06999999995</v>
      </c>
      <c r="AB187">
        <v>605600.44539880485</v>
      </c>
      <c r="AD187">
        <v>605600.44539880485</v>
      </c>
      <c r="AE187">
        <v>-51588.375398804899</v>
      </c>
      <c r="AH187">
        <v>554012.06999999995</v>
      </c>
      <c r="AI187">
        <v>4423</v>
      </c>
    </row>
    <row r="188" spans="27:35" x14ac:dyDescent="0.45">
      <c r="AA188">
        <v>559422.02</v>
      </c>
      <c r="AB188">
        <v>551859.79000649042</v>
      </c>
      <c r="AD188">
        <v>551859.79000649042</v>
      </c>
      <c r="AE188">
        <v>7562.2299935095944</v>
      </c>
      <c r="AH188">
        <v>643428.85</v>
      </c>
      <c r="AI188">
        <v>6177</v>
      </c>
    </row>
    <row r="189" spans="27:35" x14ac:dyDescent="0.45">
      <c r="AA189">
        <v>611924.27</v>
      </c>
      <c r="AB189">
        <v>612574.7797617123</v>
      </c>
      <c r="AD189">
        <v>612574.7797617123</v>
      </c>
      <c r="AE189">
        <v>-650.50976171228103</v>
      </c>
      <c r="AH189">
        <v>611924.27</v>
      </c>
      <c r="AI189">
        <v>5150</v>
      </c>
    </row>
    <row r="190" spans="27:35" x14ac:dyDescent="0.45">
      <c r="AA190">
        <v>643428.85</v>
      </c>
      <c r="AB190">
        <v>680257.40691521764</v>
      </c>
      <c r="AD190">
        <v>680257.40691521764</v>
      </c>
      <c r="AE190">
        <v>-36828.556915217661</v>
      </c>
      <c r="AH190">
        <v>559422.02</v>
      </c>
      <c r="AI190">
        <v>3783</v>
      </c>
    </row>
    <row r="191" spans="27:35" x14ac:dyDescent="0.45">
      <c r="AA191">
        <v>735786.64</v>
      </c>
      <c r="AB191">
        <v>640920.90981013014</v>
      </c>
      <c r="AD191">
        <v>640920.90981013014</v>
      </c>
      <c r="AE191">
        <v>94865.730189869879</v>
      </c>
      <c r="AH191">
        <v>691447.43</v>
      </c>
      <c r="AI191">
        <v>4970</v>
      </c>
    </row>
    <row r="192" spans="27:35" x14ac:dyDescent="0.45">
      <c r="AA192">
        <v>691447.43</v>
      </c>
      <c r="AB192">
        <v>636478.98544025538</v>
      </c>
      <c r="AD192">
        <v>636478.98544025538</v>
      </c>
      <c r="AE192">
        <v>54968.444559744676</v>
      </c>
      <c r="AH192">
        <v>574066.61</v>
      </c>
      <c r="AI192">
        <v>4366</v>
      </c>
    </row>
    <row r="193" spans="27:35" x14ac:dyDescent="0.45">
      <c r="AA193">
        <v>578949.84</v>
      </c>
      <c r="AB193">
        <v>597590.53382674058</v>
      </c>
      <c r="AD193">
        <v>597590.53382674058</v>
      </c>
      <c r="AE193">
        <v>-18640.693826740608</v>
      </c>
      <c r="AH193">
        <v>578949.84</v>
      </c>
      <c r="AI193">
        <v>5012</v>
      </c>
    </row>
    <row r="194" spans="27:35" x14ac:dyDescent="0.45">
      <c r="AA194">
        <v>574066.61</v>
      </c>
      <c r="AB194">
        <v>602075.5084450529</v>
      </c>
      <c r="AD194">
        <v>602075.5084450529</v>
      </c>
      <c r="AE194">
        <v>-28008.89844505291</v>
      </c>
      <c r="AH194">
        <v>735786.64</v>
      </c>
      <c r="AI194">
        <v>5575</v>
      </c>
    </row>
    <row r="195" spans="27:35" x14ac:dyDescent="0.45">
      <c r="AA195">
        <v>787715.51</v>
      </c>
      <c r="AB195">
        <v>708739.81528868841</v>
      </c>
      <c r="AD195">
        <v>708739.81528868841</v>
      </c>
      <c r="AE195">
        <v>78975.694711311604</v>
      </c>
      <c r="AH195">
        <v>598904.9</v>
      </c>
      <c r="AI195">
        <v>5955</v>
      </c>
    </row>
    <row r="196" spans="27:35" x14ac:dyDescent="0.45">
      <c r="AA196">
        <v>598904.9</v>
      </c>
      <c r="AB196">
        <v>631639.27631106297</v>
      </c>
      <c r="AD196">
        <v>631639.27631106297</v>
      </c>
      <c r="AE196">
        <v>-32734.376311062952</v>
      </c>
      <c r="AH196">
        <v>787715.51</v>
      </c>
      <c r="AI196">
        <v>6389</v>
      </c>
    </row>
    <row r="197" spans="27:35" x14ac:dyDescent="0.45">
      <c r="AA197">
        <v>650795.49</v>
      </c>
      <c r="AB197">
        <v>694690.36252136354</v>
      </c>
      <c r="AD197">
        <v>694690.36252136354</v>
      </c>
      <c r="AE197">
        <v>-43894.872521363548</v>
      </c>
      <c r="AH197">
        <v>607084.92000000004</v>
      </c>
      <c r="AI197">
        <v>6896</v>
      </c>
    </row>
    <row r="198" spans="27:35" x14ac:dyDescent="0.45">
      <c r="AA198">
        <v>607084.92000000004</v>
      </c>
      <c r="AB198">
        <v>673500.57453158149</v>
      </c>
      <c r="AD198">
        <v>673500.57453158149</v>
      </c>
      <c r="AE198">
        <v>-66415.654531581444</v>
      </c>
      <c r="AH198">
        <v>650795.49</v>
      </c>
      <c r="AI198">
        <v>6015</v>
      </c>
    </row>
    <row r="199" spans="27:35" x14ac:dyDescent="0.45">
      <c r="AA199">
        <v>795464.47</v>
      </c>
      <c r="AB199">
        <v>751598.52677443437</v>
      </c>
      <c r="AD199">
        <v>751598.52677443437</v>
      </c>
      <c r="AE199">
        <v>43865.943225565599</v>
      </c>
      <c r="AH199">
        <v>825060.52</v>
      </c>
      <c r="AI199">
        <v>9476</v>
      </c>
    </row>
    <row r="200" spans="27:35" x14ac:dyDescent="0.45">
      <c r="AA200">
        <v>825060.52</v>
      </c>
      <c r="AB200">
        <v>851836.07273887238</v>
      </c>
      <c r="AD200">
        <v>851836.07273887238</v>
      </c>
      <c r="AE200">
        <v>-26775.552738872357</v>
      </c>
      <c r="AH200">
        <v>795464.47</v>
      </c>
      <c r="AI200">
        <v>7875</v>
      </c>
    </row>
    <row r="201" spans="27:35" x14ac:dyDescent="0.45">
      <c r="AA201">
        <v>671868.59</v>
      </c>
      <c r="AB201">
        <v>746928.20317316847</v>
      </c>
      <c r="AD201">
        <v>746928.20317316847</v>
      </c>
      <c r="AE201">
        <v>-75059.613173168502</v>
      </c>
      <c r="AH201">
        <v>671868.59</v>
      </c>
      <c r="AI201">
        <v>9283</v>
      </c>
    </row>
    <row r="202" spans="27:35" x14ac:dyDescent="0.45">
      <c r="AA202">
        <v>675917.63</v>
      </c>
      <c r="AB202">
        <v>766541.69878146658</v>
      </c>
      <c r="AD202">
        <v>766541.69878146658</v>
      </c>
      <c r="AE202">
        <v>-90624.068781466573</v>
      </c>
      <c r="AH202">
        <v>675917.63</v>
      </c>
      <c r="AI202">
        <v>8303</v>
      </c>
    </row>
    <row r="203" spans="27:35" x14ac:dyDescent="0.45">
      <c r="AA203">
        <v>810446.53</v>
      </c>
      <c r="AB203">
        <v>807040.1710535367</v>
      </c>
      <c r="AD203">
        <v>807040.1710535367</v>
      </c>
      <c r="AE203">
        <v>3406.358946463326</v>
      </c>
      <c r="AH203">
        <v>810446.53</v>
      </c>
      <c r="AI203">
        <v>10125</v>
      </c>
    </row>
    <row r="204" spans="27:35" x14ac:dyDescent="0.45">
      <c r="AA204">
        <v>761963.23</v>
      </c>
      <c r="AB204">
        <v>778399.39361542568</v>
      </c>
      <c r="AD204">
        <v>778399.39361542568</v>
      </c>
      <c r="AE204">
        <v>-16436.163615425699</v>
      </c>
      <c r="AH204">
        <v>691288.19</v>
      </c>
      <c r="AI204">
        <v>9458</v>
      </c>
    </row>
    <row r="205" spans="27:35" x14ac:dyDescent="0.45">
      <c r="AA205">
        <v>946833.54</v>
      </c>
      <c r="AB205">
        <v>967900.25995590969</v>
      </c>
      <c r="AD205">
        <v>967900.25995590969</v>
      </c>
      <c r="AE205">
        <v>-21066.719955909648</v>
      </c>
      <c r="AH205">
        <v>946833.54</v>
      </c>
      <c r="AI205">
        <v>12870</v>
      </c>
    </row>
    <row r="206" spans="27:35" x14ac:dyDescent="0.45">
      <c r="AA206">
        <v>691288.19</v>
      </c>
      <c r="AB206">
        <v>774144.34077179513</v>
      </c>
      <c r="AD206">
        <v>774144.34077179513</v>
      </c>
      <c r="AE206">
        <v>-82856.15077179519</v>
      </c>
      <c r="AH206">
        <v>761963.23</v>
      </c>
      <c r="AI206">
        <v>9752</v>
      </c>
    </row>
    <row r="207" spans="27:35" x14ac:dyDescent="0.45">
      <c r="AA207">
        <v>804975.5</v>
      </c>
      <c r="AB207">
        <v>752042.65867731522</v>
      </c>
      <c r="AD207">
        <v>752042.65867731522</v>
      </c>
      <c r="AE207">
        <v>52932.841322684777</v>
      </c>
      <c r="AH207">
        <v>812152.6</v>
      </c>
      <c r="AI207">
        <v>9505</v>
      </c>
    </row>
    <row r="208" spans="27:35" x14ac:dyDescent="0.45">
      <c r="AA208">
        <v>812152.6</v>
      </c>
      <c r="AB208">
        <v>765186.05837685475</v>
      </c>
      <c r="AD208">
        <v>765186.05837685475</v>
      </c>
      <c r="AE208">
        <v>46966.541623145225</v>
      </c>
      <c r="AH208">
        <v>804975.5</v>
      </c>
      <c r="AI208">
        <v>9412</v>
      </c>
    </row>
    <row r="209" spans="27:35" x14ac:dyDescent="0.45">
      <c r="AA209">
        <v>836908.24</v>
      </c>
      <c r="AB209">
        <v>812223.28509989008</v>
      </c>
      <c r="AD209">
        <v>812223.28509989008</v>
      </c>
      <c r="AE209">
        <v>24684.954900109908</v>
      </c>
      <c r="AH209">
        <v>752321.72</v>
      </c>
      <c r="AI209">
        <v>9644</v>
      </c>
    </row>
    <row r="210" spans="27:35" x14ac:dyDescent="0.45">
      <c r="AA210">
        <v>752321.72</v>
      </c>
      <c r="AB210">
        <v>751817.83756908076</v>
      </c>
      <c r="AD210">
        <v>751817.83756908076</v>
      </c>
      <c r="AE210">
        <v>503.88243091921322</v>
      </c>
      <c r="AH210">
        <v>836908.24</v>
      </c>
      <c r="AI210">
        <v>11224</v>
      </c>
    </row>
    <row r="211" spans="27:35" x14ac:dyDescent="0.45">
      <c r="AA211">
        <v>673348.56</v>
      </c>
      <c r="AB211">
        <v>636681.71014889074</v>
      </c>
      <c r="AD211">
        <v>636681.71014889074</v>
      </c>
      <c r="AE211">
        <v>36666.84985110932</v>
      </c>
      <c r="AH211">
        <v>674289.1</v>
      </c>
      <c r="AI211">
        <v>5394</v>
      </c>
    </row>
    <row r="212" spans="27:35" x14ac:dyDescent="0.45">
      <c r="AA212">
        <v>674289.1</v>
      </c>
      <c r="AB212">
        <v>663389.39780615165</v>
      </c>
      <c r="AD212">
        <v>663389.39780615165</v>
      </c>
      <c r="AE212">
        <v>10899.702193848323</v>
      </c>
      <c r="AH212">
        <v>622892.42000000004</v>
      </c>
      <c r="AI212">
        <v>5014</v>
      </c>
    </row>
    <row r="213" spans="27:35" x14ac:dyDescent="0.45">
      <c r="AA213">
        <v>606278.30000000005</v>
      </c>
      <c r="AB213">
        <v>614428.73982688866</v>
      </c>
      <c r="AD213">
        <v>614428.73982688866</v>
      </c>
      <c r="AE213">
        <v>-8150.4398268886143</v>
      </c>
      <c r="AH213">
        <v>673348.56</v>
      </c>
      <c r="AI213">
        <v>4467</v>
      </c>
    </row>
    <row r="214" spans="27:35" x14ac:dyDescent="0.45">
      <c r="AA214">
        <v>622892.42000000004</v>
      </c>
      <c r="AB214">
        <v>635519.82953625277</v>
      </c>
      <c r="AD214">
        <v>635519.82953625277</v>
      </c>
      <c r="AE214">
        <v>-12627.40953625273</v>
      </c>
      <c r="AH214">
        <v>606278.30000000005</v>
      </c>
      <c r="AI214">
        <v>4678</v>
      </c>
    </row>
    <row r="215" spans="27:35" x14ac:dyDescent="0.45">
      <c r="AA215">
        <v>712219.81</v>
      </c>
      <c r="AB215">
        <v>707630.38291247399</v>
      </c>
      <c r="AD215">
        <v>707630.38291247399</v>
      </c>
      <c r="AE215">
        <v>4589.42708752607</v>
      </c>
      <c r="AH215">
        <v>712219.81</v>
      </c>
      <c r="AI215">
        <v>7291</v>
      </c>
    </row>
    <row r="216" spans="27:35" x14ac:dyDescent="0.45">
      <c r="AA216">
        <v>672670.54</v>
      </c>
      <c r="AB216">
        <v>683003.21265389584</v>
      </c>
      <c r="AD216">
        <v>683003.21265389584</v>
      </c>
      <c r="AE216">
        <v>-10332.672653895803</v>
      </c>
      <c r="AH216">
        <v>672670.54</v>
      </c>
      <c r="AI216">
        <v>7404</v>
      </c>
    </row>
    <row r="217" spans="27:35" x14ac:dyDescent="0.45">
      <c r="AA217">
        <v>732667.92</v>
      </c>
      <c r="AB217">
        <v>744254.55647465296</v>
      </c>
      <c r="AD217">
        <v>744254.55647465296</v>
      </c>
      <c r="AE217">
        <v>-11586.636474652914</v>
      </c>
      <c r="AH217">
        <v>732667.92</v>
      </c>
      <c r="AI217">
        <v>7880</v>
      </c>
    </row>
    <row r="218" spans="27:35" x14ac:dyDescent="0.45">
      <c r="AA218">
        <v>723531.4</v>
      </c>
      <c r="AB218">
        <v>769292.91732602776</v>
      </c>
      <c r="AD218">
        <v>769292.91732602776</v>
      </c>
      <c r="AE218">
        <v>-45761.517326027737</v>
      </c>
      <c r="AH218">
        <v>723531.4</v>
      </c>
      <c r="AI218">
        <v>8773</v>
      </c>
    </row>
    <row r="219" spans="27:35" x14ac:dyDescent="0.45">
      <c r="AA219">
        <v>641564.6</v>
      </c>
      <c r="AB219">
        <v>624145.72546355869</v>
      </c>
      <c r="AD219">
        <v>624145.72546355869</v>
      </c>
      <c r="AE219">
        <v>17418.87453644129</v>
      </c>
      <c r="AH219">
        <v>641564.6</v>
      </c>
      <c r="AI219">
        <v>4713</v>
      </c>
    </row>
    <row r="220" spans="27:35" x14ac:dyDescent="0.45">
      <c r="AA220">
        <v>536545.49</v>
      </c>
      <c r="AB220">
        <v>544357.66815353383</v>
      </c>
      <c r="AD220">
        <v>544357.66815353383</v>
      </c>
      <c r="AE220">
        <v>-7812.1781535338378</v>
      </c>
      <c r="AH220">
        <v>536545.49</v>
      </c>
      <c r="AI220">
        <v>2842</v>
      </c>
    </row>
    <row r="221" spans="27:35" x14ac:dyDescent="0.45">
      <c r="AA221">
        <v>527681.56000000006</v>
      </c>
      <c r="AB221">
        <v>569661.59438291995</v>
      </c>
      <c r="AD221">
        <v>569661.59438291995</v>
      </c>
      <c r="AE221">
        <v>-41980.034382919897</v>
      </c>
      <c r="AH221">
        <v>527681.56000000006</v>
      </c>
      <c r="AI221">
        <v>3872</v>
      </c>
    </row>
    <row r="222" spans="27:35" x14ac:dyDescent="0.45">
      <c r="AA222">
        <v>870937.4</v>
      </c>
      <c r="AB222">
        <v>818441.48537247849</v>
      </c>
      <c r="AD222">
        <v>818441.48537247849</v>
      </c>
      <c r="AE222">
        <v>52495.914627521532</v>
      </c>
      <c r="AH222">
        <v>570963.31000000006</v>
      </c>
      <c r="AI222">
        <v>5957</v>
      </c>
    </row>
    <row r="223" spans="27:35" x14ac:dyDescent="0.45">
      <c r="AA223">
        <v>596969.27</v>
      </c>
      <c r="AB223">
        <v>640364.37422468164</v>
      </c>
      <c r="AD223">
        <v>640364.37422468164</v>
      </c>
      <c r="AE223">
        <v>-43395.104224681621</v>
      </c>
      <c r="AH223">
        <v>870937.4</v>
      </c>
      <c r="AI223">
        <v>8961</v>
      </c>
    </row>
    <row r="224" spans="27:35" x14ac:dyDescent="0.45">
      <c r="AA224">
        <v>570963.31000000006</v>
      </c>
      <c r="AB224">
        <v>634906.69992495188</v>
      </c>
      <c r="AD224">
        <v>634906.69992495188</v>
      </c>
      <c r="AE224">
        <v>-63943.389924951829</v>
      </c>
      <c r="AH224">
        <v>596969.27</v>
      </c>
      <c r="AI224">
        <v>6545</v>
      </c>
    </row>
    <row r="225" spans="27:35" x14ac:dyDescent="0.45">
      <c r="AA225">
        <v>723305.11</v>
      </c>
      <c r="AB225">
        <v>633798.33373015164</v>
      </c>
      <c r="AD225">
        <v>633798.33373015164</v>
      </c>
      <c r="AE225">
        <v>89506.776269848342</v>
      </c>
      <c r="AH225">
        <v>658072.14</v>
      </c>
      <c r="AI225">
        <v>4264</v>
      </c>
    </row>
    <row r="226" spans="27:35" x14ac:dyDescent="0.45">
      <c r="AA226">
        <v>658072.14</v>
      </c>
      <c r="AB226">
        <v>601822.15381677006</v>
      </c>
      <c r="AD226">
        <v>601822.15381677006</v>
      </c>
      <c r="AE226">
        <v>56249.98618322995</v>
      </c>
      <c r="AH226">
        <v>723305.11</v>
      </c>
      <c r="AI226">
        <v>5321</v>
      </c>
    </row>
    <row r="227" spans="27:35" x14ac:dyDescent="0.45">
      <c r="AA227">
        <v>640666.53</v>
      </c>
      <c r="AB227">
        <v>621769.60732919862</v>
      </c>
      <c r="AD227">
        <v>621769.60732919862</v>
      </c>
      <c r="AE227">
        <v>18896.922670801403</v>
      </c>
      <c r="AH227">
        <v>640666.53</v>
      </c>
      <c r="AI227">
        <v>5479</v>
      </c>
    </row>
    <row r="228" spans="27:35" x14ac:dyDescent="0.45">
      <c r="AA228">
        <v>670629.48</v>
      </c>
      <c r="AB228">
        <v>655223.58204979554</v>
      </c>
      <c r="AD228">
        <v>655223.58204979554</v>
      </c>
      <c r="AE228">
        <v>15405.897950204439</v>
      </c>
      <c r="AH228">
        <v>670629.48</v>
      </c>
      <c r="AI228">
        <v>6169</v>
      </c>
    </row>
    <row r="229" spans="27:35" x14ac:dyDescent="0.45">
      <c r="AA229">
        <v>737070.18</v>
      </c>
      <c r="AB229">
        <v>733771.86400957452</v>
      </c>
      <c r="AD229">
        <v>733771.86400957452</v>
      </c>
      <c r="AE229">
        <v>3298.3159904255299</v>
      </c>
      <c r="AH229">
        <v>721079.35</v>
      </c>
      <c r="AI229">
        <v>9908</v>
      </c>
    </row>
    <row r="230" spans="27:35" x14ac:dyDescent="0.45">
      <c r="AA230">
        <v>761919.25</v>
      </c>
      <c r="AB230">
        <v>776209.19094097114</v>
      </c>
      <c r="AD230">
        <v>776209.19094097114</v>
      </c>
      <c r="AE230">
        <v>-14289.940940971137</v>
      </c>
      <c r="AH230">
        <v>810355.02</v>
      </c>
      <c r="AI230">
        <v>9996</v>
      </c>
    </row>
    <row r="231" spans="27:35" x14ac:dyDescent="0.45">
      <c r="AA231">
        <v>810355.02</v>
      </c>
      <c r="AB231">
        <v>830480.31919007527</v>
      </c>
      <c r="AD231">
        <v>830480.31919007527</v>
      </c>
      <c r="AE231">
        <v>-20125.299190075253</v>
      </c>
      <c r="AH231">
        <v>761919.25</v>
      </c>
      <c r="AI231">
        <v>9702</v>
      </c>
    </row>
    <row r="232" spans="27:35" x14ac:dyDescent="0.45">
      <c r="AA232">
        <v>721079.35</v>
      </c>
      <c r="AB232">
        <v>796827.74683921749</v>
      </c>
      <c r="AD232">
        <v>796827.74683921749</v>
      </c>
      <c r="AE232">
        <v>-75748.396839217516</v>
      </c>
      <c r="AH232">
        <v>737070.18</v>
      </c>
      <c r="AI232">
        <v>9314</v>
      </c>
    </row>
    <row r="233" spans="27:35" x14ac:dyDescent="0.45">
      <c r="AA233">
        <v>776992.93</v>
      </c>
      <c r="AB233">
        <v>752978.30831515649</v>
      </c>
      <c r="AD233">
        <v>752978.30831515649</v>
      </c>
      <c r="AE233">
        <v>24014.621684843558</v>
      </c>
      <c r="AH233">
        <v>776992.93</v>
      </c>
      <c r="AI233">
        <v>8055</v>
      </c>
    </row>
    <row r="234" spans="27:35" x14ac:dyDescent="0.45">
      <c r="AA234">
        <v>676337.41</v>
      </c>
      <c r="AB234">
        <v>662646.31019808876</v>
      </c>
      <c r="AD234">
        <v>662646.31019808876</v>
      </c>
      <c r="AE234">
        <v>13691.099801911274</v>
      </c>
      <c r="AH234">
        <v>676337.41</v>
      </c>
      <c r="AI234">
        <v>5648</v>
      </c>
    </row>
    <row r="235" spans="27:35" x14ac:dyDescent="0.45">
      <c r="AA235">
        <v>828219.67</v>
      </c>
      <c r="AB235">
        <v>826583.52367025998</v>
      </c>
      <c r="AD235">
        <v>826583.52367025998</v>
      </c>
      <c r="AE235">
        <v>1636.1463297400624</v>
      </c>
      <c r="AH235">
        <v>828219.67</v>
      </c>
      <c r="AI235">
        <v>10076</v>
      </c>
    </row>
    <row r="236" spans="27:35" x14ac:dyDescent="0.45">
      <c r="AA236">
        <v>763159.92</v>
      </c>
      <c r="AB236">
        <v>774424.05690826906</v>
      </c>
      <c r="AD236">
        <v>774424.05690826906</v>
      </c>
      <c r="AE236">
        <v>-11264.136908269022</v>
      </c>
      <c r="AH236">
        <v>763159.92</v>
      </c>
      <c r="AI236">
        <v>8004</v>
      </c>
    </row>
    <row r="237" spans="27:35" x14ac:dyDescent="0.45">
      <c r="AA237">
        <v>802001.68</v>
      </c>
      <c r="AB237">
        <v>794672.33111003053</v>
      </c>
      <c r="AD237">
        <v>794672.33111003053</v>
      </c>
      <c r="AE237">
        <v>7329.3488899695221</v>
      </c>
      <c r="AH237">
        <v>802001.68</v>
      </c>
      <c r="AI237">
        <v>8934</v>
      </c>
    </row>
    <row r="238" spans="27:35" x14ac:dyDescent="0.45">
      <c r="AA238">
        <v>750471.34</v>
      </c>
      <c r="AB238">
        <v>755762.01963280386</v>
      </c>
      <c r="AD238">
        <v>755762.01963280386</v>
      </c>
      <c r="AE238">
        <v>-5290.6796328038909</v>
      </c>
      <c r="AH238">
        <v>750471.34</v>
      </c>
      <c r="AI238">
        <v>8733</v>
      </c>
    </row>
    <row r="239" spans="27:35" x14ac:dyDescent="0.45">
      <c r="AA239">
        <v>679888.74</v>
      </c>
      <c r="AB239">
        <v>693584.18237431056</v>
      </c>
      <c r="AD239">
        <v>693584.18237431056</v>
      </c>
      <c r="AE239">
        <v>-13695.442374310573</v>
      </c>
      <c r="AH239">
        <v>679230.86</v>
      </c>
      <c r="AI239">
        <v>7374</v>
      </c>
    </row>
    <row r="240" spans="27:35" x14ac:dyDescent="0.45">
      <c r="AA240">
        <v>679230.86</v>
      </c>
      <c r="AB240">
        <v>715055.30391500052</v>
      </c>
      <c r="AD240">
        <v>715055.30391500052</v>
      </c>
      <c r="AE240">
        <v>-35824.443915000535</v>
      </c>
      <c r="AH240">
        <v>679888.74</v>
      </c>
      <c r="AI240">
        <v>8119</v>
      </c>
    </row>
    <row r="241" spans="27:35" x14ac:dyDescent="0.45">
      <c r="AA241">
        <v>729440.45</v>
      </c>
      <c r="AB241">
        <v>714669.60399271525</v>
      </c>
      <c r="AD241">
        <v>714669.60399271525</v>
      </c>
      <c r="AE241">
        <v>14770.846007284708</v>
      </c>
      <c r="AH241">
        <v>642751.42000000004</v>
      </c>
      <c r="AI241">
        <v>5765</v>
      </c>
    </row>
    <row r="242" spans="27:35" x14ac:dyDescent="0.45">
      <c r="AA242">
        <v>647953.78</v>
      </c>
      <c r="AB242">
        <v>644627.56446959183</v>
      </c>
      <c r="AD242">
        <v>644627.56446959183</v>
      </c>
      <c r="AE242">
        <v>3326.2155304081971</v>
      </c>
      <c r="AH242">
        <v>647953.78</v>
      </c>
      <c r="AI242">
        <v>6322</v>
      </c>
    </row>
    <row r="243" spans="27:35" x14ac:dyDescent="0.45">
      <c r="AA243">
        <v>642751.42000000004</v>
      </c>
      <c r="AB243">
        <v>660640.50256423501</v>
      </c>
      <c r="AD243">
        <v>660640.50256423501</v>
      </c>
      <c r="AE243">
        <v>-17889.082564234966</v>
      </c>
      <c r="AH243">
        <v>729440.45</v>
      </c>
      <c r="AI243">
        <v>6840</v>
      </c>
    </row>
    <row r="244" spans="27:35" x14ac:dyDescent="0.45">
      <c r="AA244">
        <v>799046.94</v>
      </c>
      <c r="AB244">
        <v>727441.87014798087</v>
      </c>
      <c r="AD244">
        <v>727441.87014798087</v>
      </c>
      <c r="AE244">
        <v>71605.069852019078</v>
      </c>
      <c r="AH244">
        <v>764949</v>
      </c>
      <c r="AI244">
        <v>6782</v>
      </c>
    </row>
    <row r="245" spans="27:35" x14ac:dyDescent="0.45">
      <c r="AA245">
        <v>720079.54</v>
      </c>
      <c r="AB245">
        <v>696636.30545426649</v>
      </c>
      <c r="AD245">
        <v>696636.30545426649</v>
      </c>
      <c r="AE245">
        <v>23443.234545733547</v>
      </c>
      <c r="AH245">
        <v>799046.94</v>
      </c>
      <c r="AI245">
        <v>6856</v>
      </c>
    </row>
    <row r="246" spans="27:35" x14ac:dyDescent="0.45">
      <c r="AA246">
        <v>764949</v>
      </c>
      <c r="AB246">
        <v>774233.03239338729</v>
      </c>
      <c r="AD246">
        <v>774233.03239338729</v>
      </c>
      <c r="AE246">
        <v>-9284.032393387286</v>
      </c>
      <c r="AH246">
        <v>720079.54</v>
      </c>
      <c r="AI246">
        <v>5641</v>
      </c>
    </row>
    <row r="247" spans="27:35" x14ac:dyDescent="0.45">
      <c r="AA247">
        <v>612390.14</v>
      </c>
      <c r="AB247">
        <v>660390.75083705818</v>
      </c>
      <c r="AD247">
        <v>660390.75083705818</v>
      </c>
      <c r="AE247">
        <v>-48000.610837058164</v>
      </c>
      <c r="AH247">
        <v>612390.14</v>
      </c>
      <c r="AI247">
        <v>5787</v>
      </c>
    </row>
    <row r="248" spans="27:35" x14ac:dyDescent="0.45">
      <c r="AA248">
        <v>840108.12</v>
      </c>
      <c r="AB248">
        <v>759290.52737036278</v>
      </c>
      <c r="AD248">
        <v>759290.52737036278</v>
      </c>
      <c r="AE248">
        <v>80817.59262963722</v>
      </c>
      <c r="AH248">
        <v>840108.12</v>
      </c>
      <c r="AI248">
        <v>8165</v>
      </c>
    </row>
    <row r="249" spans="27:35" x14ac:dyDescent="0.45">
      <c r="AA249">
        <v>776110.32</v>
      </c>
      <c r="AB249">
        <v>731802.89007023594</v>
      </c>
      <c r="AD249">
        <v>731802.89007023594</v>
      </c>
      <c r="AE249">
        <v>44307.42992976401</v>
      </c>
      <c r="AH249">
        <v>697888.09</v>
      </c>
      <c r="AI249">
        <v>7574</v>
      </c>
    </row>
    <row r="250" spans="27:35" x14ac:dyDescent="0.45">
      <c r="AA250">
        <v>697888.09</v>
      </c>
      <c r="AB250">
        <v>679141.65000455349</v>
      </c>
      <c r="AD250">
        <v>679141.65000455349</v>
      </c>
      <c r="AE250">
        <v>18746.439995446475</v>
      </c>
      <c r="AH250">
        <v>746115.59</v>
      </c>
      <c r="AI250">
        <v>8634</v>
      </c>
    </row>
    <row r="251" spans="27:35" x14ac:dyDescent="0.45">
      <c r="AA251">
        <v>746115.59</v>
      </c>
      <c r="AB251">
        <v>744792.67796403659</v>
      </c>
      <c r="AD251">
        <v>744792.67796403659</v>
      </c>
      <c r="AE251">
        <v>1322.9120359633816</v>
      </c>
      <c r="AH251">
        <v>776110.32</v>
      </c>
      <c r="AI251">
        <v>7836</v>
      </c>
    </row>
    <row r="252" spans="27:35" x14ac:dyDescent="0.45">
      <c r="AA252">
        <v>677640.65</v>
      </c>
      <c r="AB252">
        <v>608844.00666046387</v>
      </c>
      <c r="AD252">
        <v>608844.00666046387</v>
      </c>
      <c r="AE252">
        <v>68796.643339536153</v>
      </c>
      <c r="AH252">
        <v>528852.62</v>
      </c>
      <c r="AI252">
        <v>3047</v>
      </c>
    </row>
    <row r="253" spans="27:35" x14ac:dyDescent="0.45">
      <c r="AA253">
        <v>636613.23</v>
      </c>
      <c r="AB253">
        <v>609193.25991791172</v>
      </c>
      <c r="AD253">
        <v>609193.25991791172</v>
      </c>
      <c r="AE253">
        <v>27419.970082088257</v>
      </c>
      <c r="AH253">
        <v>677640.65</v>
      </c>
      <c r="AI253">
        <v>4902</v>
      </c>
    </row>
    <row r="254" spans="27:35" x14ac:dyDescent="0.45">
      <c r="AA254">
        <v>528852.62</v>
      </c>
      <c r="AB254">
        <v>519631.21998928813</v>
      </c>
      <c r="AD254">
        <v>519631.21998928813</v>
      </c>
      <c r="AE254">
        <v>9221.4000107118627</v>
      </c>
      <c r="AH254">
        <v>636613.23</v>
      </c>
      <c r="AI254">
        <v>4022</v>
      </c>
    </row>
    <row r="255" spans="27:35" x14ac:dyDescent="0.45">
      <c r="AA255">
        <v>767792.94</v>
      </c>
      <c r="AB255">
        <v>740390.68568281969</v>
      </c>
      <c r="AD255">
        <v>740390.68568281969</v>
      </c>
      <c r="AE255">
        <v>27402.254317180254</v>
      </c>
      <c r="AH255">
        <v>708985.19</v>
      </c>
      <c r="AI255">
        <v>7324</v>
      </c>
    </row>
    <row r="256" spans="27:35" x14ac:dyDescent="0.45">
      <c r="AA256">
        <v>762328.31</v>
      </c>
      <c r="AB256">
        <v>735507.47397072578</v>
      </c>
      <c r="AD256">
        <v>735507.47397072578</v>
      </c>
      <c r="AE256">
        <v>26820.836029274273</v>
      </c>
      <c r="AH256">
        <v>767792.94</v>
      </c>
      <c r="AI256">
        <v>8129</v>
      </c>
    </row>
    <row r="257" spans="27:35" x14ac:dyDescent="0.45">
      <c r="AA257">
        <v>745580.51</v>
      </c>
      <c r="AB257">
        <v>726390.8501480507</v>
      </c>
      <c r="AD257">
        <v>726390.8501480507</v>
      </c>
      <c r="AE257">
        <v>19189.659851949313</v>
      </c>
      <c r="AH257">
        <v>745580.51</v>
      </c>
      <c r="AI257">
        <v>7969</v>
      </c>
    </row>
    <row r="258" spans="27:35" x14ac:dyDescent="0.45">
      <c r="AA258">
        <v>708985.19</v>
      </c>
      <c r="AB258">
        <v>732730.07528951659</v>
      </c>
      <c r="AD258">
        <v>732730.07528951659</v>
      </c>
      <c r="AE258">
        <v>-23744.885289516649</v>
      </c>
      <c r="AH258">
        <v>762328.31</v>
      </c>
      <c r="AI258">
        <v>7240</v>
      </c>
    </row>
    <row r="259" spans="27:35" x14ac:dyDescent="0.45">
      <c r="AA259">
        <v>739374.56</v>
      </c>
      <c r="AB259">
        <v>704994.82320537814</v>
      </c>
      <c r="AD259">
        <v>704994.82320537814</v>
      </c>
      <c r="AE259">
        <v>34379.736794621916</v>
      </c>
      <c r="AH259">
        <v>660633.99</v>
      </c>
      <c r="AI259">
        <v>8052</v>
      </c>
    </row>
    <row r="260" spans="27:35" x14ac:dyDescent="0.45">
      <c r="AA260">
        <v>799756.46</v>
      </c>
      <c r="AB260">
        <v>815169.00693746633</v>
      </c>
      <c r="AD260">
        <v>815169.00693746633</v>
      </c>
      <c r="AE260">
        <v>-15412.546937466366</v>
      </c>
      <c r="AH260">
        <v>739374.56</v>
      </c>
      <c r="AI260">
        <v>8018</v>
      </c>
    </row>
    <row r="261" spans="27:35" x14ac:dyDescent="0.45">
      <c r="AA261">
        <v>593343</v>
      </c>
      <c r="AB261">
        <v>685669.64290958003</v>
      </c>
      <c r="AD261">
        <v>685669.64290958003</v>
      </c>
      <c r="AE261">
        <v>-92326.642909580027</v>
      </c>
      <c r="AH261">
        <v>799756.46</v>
      </c>
      <c r="AI261">
        <v>10192</v>
      </c>
    </row>
    <row r="262" spans="27:35" x14ac:dyDescent="0.45">
      <c r="AA262">
        <v>660633.99</v>
      </c>
      <c r="AB262">
        <v>753415.95235509169</v>
      </c>
      <c r="AD262">
        <v>753415.95235509169</v>
      </c>
      <c r="AE262">
        <v>-92781.962355091702</v>
      </c>
      <c r="AH262">
        <v>593343</v>
      </c>
      <c r="AI262">
        <v>7446</v>
      </c>
    </row>
    <row r="263" spans="27:35" x14ac:dyDescent="0.45">
      <c r="AA263">
        <v>686737.87</v>
      </c>
      <c r="AB263">
        <v>601024.08299667446</v>
      </c>
      <c r="AD263">
        <v>601024.08299667446</v>
      </c>
      <c r="AE263">
        <v>85713.787003325531</v>
      </c>
      <c r="AH263">
        <v>645039.97</v>
      </c>
      <c r="AI263">
        <v>5689</v>
      </c>
    </row>
    <row r="264" spans="27:35" x14ac:dyDescent="0.45">
      <c r="AA264">
        <v>561597.32999999996</v>
      </c>
      <c r="AB264">
        <v>525364.4752257982</v>
      </c>
      <c r="AD264">
        <v>525364.4752257982</v>
      </c>
      <c r="AE264">
        <v>36232.854774201754</v>
      </c>
      <c r="AH264">
        <v>561597.32999999996</v>
      </c>
      <c r="AI264">
        <v>3326</v>
      </c>
    </row>
    <row r="265" spans="27:35" x14ac:dyDescent="0.45">
      <c r="AA265">
        <v>645039.97</v>
      </c>
      <c r="AB265">
        <v>641410.62068783958</v>
      </c>
      <c r="AD265">
        <v>641410.62068783958</v>
      </c>
      <c r="AE265">
        <v>3629.3493121603969</v>
      </c>
      <c r="AH265">
        <v>635837.74</v>
      </c>
      <c r="AI265">
        <v>5767</v>
      </c>
    </row>
    <row r="266" spans="27:35" x14ac:dyDescent="0.45">
      <c r="AA266">
        <v>635837.74</v>
      </c>
      <c r="AB266">
        <v>647781.97181673476</v>
      </c>
      <c r="AD266">
        <v>647781.97181673476</v>
      </c>
      <c r="AE266">
        <v>-11944.231816734769</v>
      </c>
      <c r="AH266">
        <v>686737.87</v>
      </c>
      <c r="AI266">
        <v>5893</v>
      </c>
    </row>
    <row r="267" spans="27:35" x14ac:dyDescent="0.45">
      <c r="AA267">
        <v>738548.42</v>
      </c>
      <c r="AB267">
        <v>700365.62300061213</v>
      </c>
      <c r="AD267">
        <v>700365.62300061213</v>
      </c>
      <c r="AE267">
        <v>38182.796999387909</v>
      </c>
      <c r="AH267">
        <v>673076.34</v>
      </c>
      <c r="AI267">
        <v>8564</v>
      </c>
    </row>
    <row r="268" spans="27:35" x14ac:dyDescent="0.45">
      <c r="AA268">
        <v>756619.77</v>
      </c>
      <c r="AB268">
        <v>740889.96304342744</v>
      </c>
      <c r="AD268">
        <v>740889.96304342744</v>
      </c>
      <c r="AE268">
        <v>15729.806956572575</v>
      </c>
      <c r="AH268">
        <v>738548.42</v>
      </c>
      <c r="AI268">
        <v>8001</v>
      </c>
    </row>
    <row r="269" spans="27:35" x14ac:dyDescent="0.45">
      <c r="AA269">
        <v>761122.42</v>
      </c>
      <c r="AB269">
        <v>771437.24561019475</v>
      </c>
      <c r="AD269">
        <v>771437.24561019475</v>
      </c>
      <c r="AE269">
        <v>-10314.825610194704</v>
      </c>
      <c r="AH269">
        <v>756619.77</v>
      </c>
      <c r="AI269">
        <v>9324</v>
      </c>
    </row>
    <row r="270" spans="27:35" x14ac:dyDescent="0.45">
      <c r="AA270">
        <v>673076.34</v>
      </c>
      <c r="AB270">
        <v>737636.25720211875</v>
      </c>
      <c r="AD270">
        <v>737636.25720211875</v>
      </c>
      <c r="AE270">
        <v>-64559.917202118784</v>
      </c>
      <c r="AH270">
        <v>761122.42</v>
      </c>
      <c r="AI270">
        <v>9109</v>
      </c>
    </row>
    <row r="271" spans="27:35" x14ac:dyDescent="0.45">
      <c r="AA271">
        <v>714083.68</v>
      </c>
      <c r="AB271">
        <v>689224.48063145939</v>
      </c>
      <c r="AD271">
        <v>689224.48063145939</v>
      </c>
      <c r="AE271">
        <v>24859.199368540663</v>
      </c>
      <c r="AH271">
        <v>524899.56999999995</v>
      </c>
      <c r="AI271">
        <v>4022</v>
      </c>
    </row>
    <row r="272" spans="27:35" x14ac:dyDescent="0.45">
      <c r="AA272">
        <v>497439.82</v>
      </c>
      <c r="AB272">
        <v>497843.92010521778</v>
      </c>
      <c r="AD272">
        <v>497843.92010521778</v>
      </c>
      <c r="AE272">
        <v>-404.1001052177744</v>
      </c>
      <c r="AH272">
        <v>555557.77</v>
      </c>
      <c r="AI272">
        <v>4355</v>
      </c>
    </row>
    <row r="273" spans="27:35" x14ac:dyDescent="0.45">
      <c r="AA273">
        <v>555557.77</v>
      </c>
      <c r="AB273">
        <v>584825.52871016285</v>
      </c>
      <c r="AD273">
        <v>584825.52871016285</v>
      </c>
      <c r="AE273">
        <v>-29267.758710162831</v>
      </c>
      <c r="AH273">
        <v>714083.68</v>
      </c>
      <c r="AI273">
        <v>5745</v>
      </c>
    </row>
    <row r="274" spans="27:35" x14ac:dyDescent="0.45">
      <c r="AA274">
        <v>524899.56999999995</v>
      </c>
      <c r="AB274">
        <v>571804.51397681586</v>
      </c>
      <c r="AD274">
        <v>571804.51397681586</v>
      </c>
      <c r="AE274">
        <v>-46904.943976815906</v>
      </c>
      <c r="AH274">
        <v>497439.82</v>
      </c>
      <c r="AI274">
        <v>3027</v>
      </c>
    </row>
    <row r="275" spans="27:35" x14ac:dyDescent="0.45">
      <c r="AA275">
        <v>609949</v>
      </c>
      <c r="AB275">
        <v>592415.17462585331</v>
      </c>
      <c r="AD275">
        <v>592415.17462585331</v>
      </c>
      <c r="AE275">
        <v>17533.825374146691</v>
      </c>
      <c r="AH275">
        <v>636775.66</v>
      </c>
      <c r="AI275">
        <v>5562</v>
      </c>
    </row>
    <row r="276" spans="27:35" x14ac:dyDescent="0.45">
      <c r="AA276">
        <v>633009.53</v>
      </c>
      <c r="AB276">
        <v>623381.04781998554</v>
      </c>
      <c r="AD276">
        <v>623381.04781998554</v>
      </c>
      <c r="AE276">
        <v>9628.4821800144855</v>
      </c>
      <c r="AH276">
        <v>633009.53</v>
      </c>
      <c r="AI276">
        <v>4487</v>
      </c>
    </row>
    <row r="277" spans="27:35" x14ac:dyDescent="0.45">
      <c r="AA277">
        <v>548103.69999999995</v>
      </c>
      <c r="AB277">
        <v>546722.00226627686</v>
      </c>
      <c r="AD277">
        <v>546722.00226627686</v>
      </c>
      <c r="AE277">
        <v>1381.6977337230928</v>
      </c>
      <c r="AH277">
        <v>609949</v>
      </c>
      <c r="AI277">
        <v>4162</v>
      </c>
    </row>
    <row r="278" spans="27:35" x14ac:dyDescent="0.45">
      <c r="AA278">
        <v>636775.66</v>
      </c>
      <c r="AB278">
        <v>638263.59183913074</v>
      </c>
      <c r="AD278">
        <v>638263.59183913074</v>
      </c>
      <c r="AE278">
        <v>-1487.9318391307024</v>
      </c>
      <c r="AH278">
        <v>548103.69999999995</v>
      </c>
      <c r="AI278">
        <v>4094</v>
      </c>
    </row>
    <row r="279" spans="27:35" x14ac:dyDescent="0.45">
      <c r="AA279">
        <v>813316.71</v>
      </c>
      <c r="AB279">
        <v>716285.36915543769</v>
      </c>
      <c r="AD279">
        <v>716285.36915543769</v>
      </c>
      <c r="AE279">
        <v>97031.340844562277</v>
      </c>
      <c r="AH279">
        <v>729424.42</v>
      </c>
      <c r="AI279">
        <v>8484</v>
      </c>
    </row>
    <row r="280" spans="27:35" x14ac:dyDescent="0.45">
      <c r="AA280">
        <v>729424.42</v>
      </c>
      <c r="AB280">
        <v>695897.08920224884</v>
      </c>
      <c r="AD280">
        <v>695897.08920224884</v>
      </c>
      <c r="AE280">
        <v>33527.330797751201</v>
      </c>
      <c r="AH280">
        <v>696261.49</v>
      </c>
      <c r="AI280">
        <v>7794</v>
      </c>
    </row>
    <row r="281" spans="27:35" x14ac:dyDescent="0.45">
      <c r="AA281">
        <v>702068.92</v>
      </c>
      <c r="AB281">
        <v>712992.4224638209</v>
      </c>
      <c r="AD281">
        <v>712992.4224638209</v>
      </c>
      <c r="AE281">
        <v>-10923.502463820856</v>
      </c>
      <c r="AH281">
        <v>813316.71</v>
      </c>
      <c r="AI281">
        <v>8300</v>
      </c>
    </row>
    <row r="282" spans="27:35" x14ac:dyDescent="0.45">
      <c r="AA282">
        <v>696261.49</v>
      </c>
      <c r="AB282">
        <v>716312.77691430098</v>
      </c>
      <c r="AD282">
        <v>716312.77691430098</v>
      </c>
      <c r="AE282">
        <v>-20051.286914300988</v>
      </c>
      <c r="AH282">
        <v>702068.92</v>
      </c>
      <c r="AI282">
        <v>7083</v>
      </c>
    </row>
    <row r="283" spans="27:35" x14ac:dyDescent="0.45">
      <c r="AA283">
        <v>487738.26</v>
      </c>
      <c r="AB283">
        <v>461902.63312603114</v>
      </c>
      <c r="AD283">
        <v>461902.63312603114</v>
      </c>
      <c r="AE283">
        <v>25835.626873968868</v>
      </c>
      <c r="AH283">
        <v>546223.69999999995</v>
      </c>
      <c r="AI283">
        <v>3834</v>
      </c>
    </row>
    <row r="284" spans="27:35" x14ac:dyDescent="0.45">
      <c r="AA284">
        <v>533121.26</v>
      </c>
      <c r="AB284">
        <v>522528.84272827796</v>
      </c>
      <c r="AD284">
        <v>522528.84272827796</v>
      </c>
      <c r="AE284">
        <v>10592.41727172205</v>
      </c>
      <c r="AH284">
        <v>533121.26</v>
      </c>
      <c r="AI284">
        <v>2358</v>
      </c>
    </row>
    <row r="285" spans="27:35" x14ac:dyDescent="0.45">
      <c r="AA285">
        <v>498970.32</v>
      </c>
      <c r="AB285">
        <v>491463.27348161762</v>
      </c>
      <c r="AD285">
        <v>491463.27348161762</v>
      </c>
      <c r="AE285">
        <v>7507.0465183823835</v>
      </c>
      <c r="AH285">
        <v>498970.32</v>
      </c>
      <c r="AI285">
        <v>1231</v>
      </c>
    </row>
    <row r="286" spans="27:35" x14ac:dyDescent="0.45">
      <c r="AA286">
        <v>546223.69999999995</v>
      </c>
      <c r="AB286">
        <v>581525.7705891456</v>
      </c>
      <c r="AD286">
        <v>581525.7705891456</v>
      </c>
      <c r="AE286">
        <v>-35302.070589145645</v>
      </c>
      <c r="AH286">
        <v>487738.26</v>
      </c>
      <c r="AI286">
        <v>1723</v>
      </c>
    </row>
    <row r="287" spans="27:35" x14ac:dyDescent="0.45">
      <c r="AA287">
        <v>763162.45</v>
      </c>
      <c r="AB287">
        <v>681608.81999623752</v>
      </c>
      <c r="AD287">
        <v>681608.81999623752</v>
      </c>
      <c r="AE287">
        <v>81553.630003762431</v>
      </c>
      <c r="AH287">
        <v>668459.37</v>
      </c>
      <c r="AI287">
        <v>5896</v>
      </c>
    </row>
    <row r="288" spans="27:35" x14ac:dyDescent="0.45">
      <c r="AA288">
        <v>668459.37</v>
      </c>
      <c r="AB288">
        <v>676291.91842128499</v>
      </c>
      <c r="AD288">
        <v>676291.91842128499</v>
      </c>
      <c r="AE288">
        <v>-7832.5484212849988</v>
      </c>
      <c r="AH288">
        <v>763162.45</v>
      </c>
      <c r="AI288">
        <v>5903</v>
      </c>
    </row>
    <row r="289" spans="27:35" x14ac:dyDescent="0.45">
      <c r="AA289">
        <v>599017.32999999996</v>
      </c>
      <c r="AB289">
        <v>623678.6635733681</v>
      </c>
      <c r="AD289">
        <v>623678.6635733681</v>
      </c>
      <c r="AE289">
        <v>-24661.333573368145</v>
      </c>
      <c r="AH289">
        <v>599017.32999999996</v>
      </c>
      <c r="AI289">
        <v>4898</v>
      </c>
    </row>
    <row r="290" spans="27:35" x14ac:dyDescent="0.45">
      <c r="AA290">
        <v>401582.58</v>
      </c>
      <c r="AB290">
        <v>475939.16458057961</v>
      </c>
      <c r="AD290">
        <v>475939.16458057961</v>
      </c>
      <c r="AE290">
        <v>-74356.584580579598</v>
      </c>
      <c r="AH290">
        <v>401582.58</v>
      </c>
      <c r="AI290">
        <v>1462</v>
      </c>
    </row>
    <row r="291" spans="27:35" x14ac:dyDescent="0.45">
      <c r="AA291">
        <v>780580.95</v>
      </c>
      <c r="AB291">
        <v>728066.83015402069</v>
      </c>
      <c r="AD291">
        <v>728066.83015402069</v>
      </c>
      <c r="AE291">
        <v>52514.119845979265</v>
      </c>
      <c r="AH291">
        <v>703812.99</v>
      </c>
      <c r="AI291">
        <v>8252</v>
      </c>
    </row>
    <row r="292" spans="27:35" x14ac:dyDescent="0.45">
      <c r="AA292">
        <v>730890.01</v>
      </c>
      <c r="AB292">
        <v>742247.70893739571</v>
      </c>
      <c r="AD292">
        <v>742247.70893739571</v>
      </c>
      <c r="AE292">
        <v>-11357.698937395704</v>
      </c>
      <c r="AH292">
        <v>724346.73</v>
      </c>
      <c r="AI292">
        <v>7989</v>
      </c>
    </row>
    <row r="293" spans="27:35" x14ac:dyDescent="0.45">
      <c r="AA293">
        <v>724346.73</v>
      </c>
      <c r="AB293">
        <v>737941.99441227317</v>
      </c>
      <c r="AD293">
        <v>737941.99441227317</v>
      </c>
      <c r="AE293">
        <v>-13595.264412273187</v>
      </c>
      <c r="AH293">
        <v>730890.01</v>
      </c>
      <c r="AI293">
        <v>8268</v>
      </c>
    </row>
    <row r="294" spans="27:35" x14ac:dyDescent="0.45">
      <c r="AA294">
        <v>703812.99</v>
      </c>
      <c r="AB294">
        <v>729926.18395466183</v>
      </c>
      <c r="AD294">
        <v>729926.18395466183</v>
      </c>
      <c r="AE294">
        <v>-26113.193954661838</v>
      </c>
      <c r="AH294">
        <v>780580.95</v>
      </c>
      <c r="AI294">
        <v>8183</v>
      </c>
    </row>
    <row r="295" spans="27:35" x14ac:dyDescent="0.45">
      <c r="AA295">
        <v>665342.49</v>
      </c>
      <c r="AB295">
        <v>610737.23864119477</v>
      </c>
      <c r="AD295">
        <v>610737.23864119477</v>
      </c>
      <c r="AE295">
        <v>54605.251358805224</v>
      </c>
      <c r="AH295">
        <v>727957.48</v>
      </c>
      <c r="AI295">
        <v>6534</v>
      </c>
    </row>
    <row r="296" spans="27:35" x14ac:dyDescent="0.45">
      <c r="AA296">
        <v>727957.48</v>
      </c>
      <c r="AB296">
        <v>678694.957814425</v>
      </c>
      <c r="AD296">
        <v>678694.957814425</v>
      </c>
      <c r="AE296">
        <v>49262.522185574984</v>
      </c>
      <c r="AH296">
        <v>538376</v>
      </c>
      <c r="AI296">
        <v>5804</v>
      </c>
    </row>
    <row r="297" spans="27:35" x14ac:dyDescent="0.45">
      <c r="AA297">
        <v>651164.18000000005</v>
      </c>
      <c r="AB297">
        <v>699310.61826884048</v>
      </c>
      <c r="AD297">
        <v>699310.61826884048</v>
      </c>
      <c r="AE297">
        <v>-48146.438268840429</v>
      </c>
      <c r="AH297">
        <v>665342.49</v>
      </c>
      <c r="AI297">
        <v>6301</v>
      </c>
    </row>
    <row r="298" spans="27:35" x14ac:dyDescent="0.45">
      <c r="AA298">
        <v>538376</v>
      </c>
      <c r="AB298">
        <v>629753.65374658559</v>
      </c>
      <c r="AD298">
        <v>629753.65374658559</v>
      </c>
      <c r="AE298">
        <v>-91377.653746585594</v>
      </c>
      <c r="AH298">
        <v>651164.18000000005</v>
      </c>
      <c r="AI298">
        <v>6399</v>
      </c>
    </row>
    <row r="299" spans="27:35" x14ac:dyDescent="0.45">
      <c r="AA299">
        <v>621677.30000000005</v>
      </c>
      <c r="AB299">
        <v>629605.48005571414</v>
      </c>
      <c r="AD299">
        <v>629605.48005571414</v>
      </c>
      <c r="AE299">
        <v>-7928.1800557140959</v>
      </c>
      <c r="AH299">
        <v>628538.30000000005</v>
      </c>
      <c r="AI299">
        <v>5759</v>
      </c>
    </row>
    <row r="300" spans="27:35" x14ac:dyDescent="0.45">
      <c r="AA300">
        <v>628538.30000000005</v>
      </c>
      <c r="AB300">
        <v>641269.97670192493</v>
      </c>
      <c r="AD300">
        <v>641269.97670192493</v>
      </c>
      <c r="AE300">
        <v>-12731.67670192488</v>
      </c>
      <c r="AH300">
        <v>536524.84</v>
      </c>
      <c r="AI300">
        <v>5285</v>
      </c>
    </row>
    <row r="301" spans="27:35" x14ac:dyDescent="0.45">
      <c r="AA301">
        <v>536524.84</v>
      </c>
      <c r="AB301">
        <v>573853.45478119608</v>
      </c>
      <c r="AD301">
        <v>573853.45478119608</v>
      </c>
      <c r="AE301">
        <v>-37328.614781196113</v>
      </c>
      <c r="AH301">
        <v>621677.30000000005</v>
      </c>
      <c r="AI301">
        <v>5434</v>
      </c>
    </row>
    <row r="302" spans="27:35" x14ac:dyDescent="0.45">
      <c r="AA302">
        <v>844710.67</v>
      </c>
      <c r="AB302">
        <v>812006.38338295068</v>
      </c>
      <c r="AD302">
        <v>812006.38338295068</v>
      </c>
      <c r="AE302">
        <v>32704.286617049365</v>
      </c>
      <c r="AH302">
        <v>702052.47</v>
      </c>
      <c r="AI302">
        <v>6164</v>
      </c>
    </row>
    <row r="303" spans="27:35" x14ac:dyDescent="0.45">
      <c r="AA303">
        <v>712375.77</v>
      </c>
      <c r="AB303">
        <v>684903.80615002406</v>
      </c>
      <c r="AD303">
        <v>684903.80615002406</v>
      </c>
      <c r="AE303">
        <v>27471.96384997596</v>
      </c>
      <c r="AH303">
        <v>712375.77</v>
      </c>
      <c r="AI303">
        <v>6000</v>
      </c>
    </row>
    <row r="304" spans="27:35" x14ac:dyDescent="0.45">
      <c r="AA304">
        <v>702052.47</v>
      </c>
      <c r="AB304">
        <v>677409.43004835176</v>
      </c>
      <c r="AD304">
        <v>677409.43004835176</v>
      </c>
      <c r="AE304">
        <v>24643.039951648214</v>
      </c>
      <c r="AH304">
        <v>844710.67</v>
      </c>
      <c r="AI304">
        <v>9967</v>
      </c>
    </row>
    <row r="305" spans="27:35" x14ac:dyDescent="0.45">
      <c r="AA305">
        <v>536845.42000000004</v>
      </c>
      <c r="AB305">
        <v>531187.75132917636</v>
      </c>
      <c r="AD305">
        <v>531187.75132917636</v>
      </c>
      <c r="AE305">
        <v>5657.6686708236812</v>
      </c>
      <c r="AH305">
        <v>620264.19999999995</v>
      </c>
      <c r="AI305">
        <v>5639</v>
      </c>
    </row>
    <row r="306" spans="27:35" x14ac:dyDescent="0.45">
      <c r="AA306">
        <v>726776.22</v>
      </c>
      <c r="AB306">
        <v>723725.6656758826</v>
      </c>
      <c r="AD306">
        <v>723725.6656758826</v>
      </c>
      <c r="AE306">
        <v>3050.5543241173727</v>
      </c>
      <c r="AH306">
        <v>536845.42000000004</v>
      </c>
      <c r="AI306">
        <v>3466</v>
      </c>
    </row>
    <row r="307" spans="27:35" x14ac:dyDescent="0.45">
      <c r="AA307">
        <v>559660.84</v>
      </c>
      <c r="AB307">
        <v>593232.82231564308</v>
      </c>
      <c r="AD307">
        <v>593232.82231564308</v>
      </c>
      <c r="AE307">
        <v>-33571.982315643108</v>
      </c>
      <c r="AH307">
        <v>726776.22</v>
      </c>
      <c r="AI307">
        <v>7775</v>
      </c>
    </row>
    <row r="308" spans="27:35" x14ac:dyDescent="0.45">
      <c r="AA308">
        <v>620264.19999999995</v>
      </c>
      <c r="AB308">
        <v>669745.613501705</v>
      </c>
      <c r="AD308">
        <v>669745.613501705</v>
      </c>
      <c r="AE308">
        <v>-49481.413501705043</v>
      </c>
      <c r="AH308">
        <v>559660.84</v>
      </c>
      <c r="AI308">
        <v>5317</v>
      </c>
    </row>
  </sheetData>
  <mergeCells count="2">
    <mergeCell ref="A9:G9"/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1_Original_Dataset</vt:lpstr>
      <vt:lpstr>2_Cleaned_Data</vt:lpstr>
      <vt:lpstr>3_Dummy_Variables</vt:lpstr>
      <vt:lpstr>4_Simple_Regression</vt:lpstr>
      <vt:lpstr>5_Multiple_Regression</vt:lpstr>
      <vt:lpstr>6_Predictions_Residuals</vt:lpstr>
      <vt:lpstr>7_Model_Comparison</vt:lpstr>
      <vt:lpstr>8_Residual_Plots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Venkatraman Prabhu</dc:creator>
  <cp:lastModifiedBy>Venkatraman Prabhu</cp:lastModifiedBy>
  <dcterms:created xsi:type="dcterms:W3CDTF">2026-06-25T09:21:11Z</dcterms:created>
  <dcterms:modified xsi:type="dcterms:W3CDTF">2026-06-25T17:04:57Z</dcterms:modified>
</cp:coreProperties>
</file>